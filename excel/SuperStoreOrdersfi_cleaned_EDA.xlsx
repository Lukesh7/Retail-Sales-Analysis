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UKESH\OneDrive\Desktop\RetailSalesAnalysis\excel\"/>
    </mc:Choice>
  </mc:AlternateContent>
  <xr:revisionPtr revIDLastSave="0" documentId="13_ncr:1_{0FB45C42-1FF2-400B-AFB6-C59354A3CFCB}" xr6:coauthVersionLast="47" xr6:coauthVersionMax="47" xr10:uidLastSave="{00000000-0000-0000-0000-000000000000}"/>
  <bookViews>
    <workbookView xWindow="-108" yWindow="-108" windowWidth="23256" windowHeight="12456" firstSheet="10" activeTab="13" xr2:uid="{84BC3EC3-AB04-4B9E-BB85-9C75ACA01582}"/>
  </bookViews>
  <sheets>
    <sheet name="KPIs" sheetId="2" r:id="rId1"/>
    <sheet name="Sales by Region" sheetId="3" r:id="rId2"/>
    <sheet name="Profit by Region" sheetId="4" r:id="rId3"/>
    <sheet name="Sales by Category" sheetId="5" r:id="rId4"/>
    <sheet name="Profit by Category" sheetId="6" r:id="rId5"/>
    <sheet name="Monthly Trend" sheetId="7" r:id="rId6"/>
    <sheet name="Top Products" sheetId="8" r:id="rId7"/>
    <sheet name="Top Customers" sheetId="9" r:id="rId8"/>
    <sheet name="Sales by Segment" sheetId="10" r:id="rId9"/>
    <sheet name="Profit by Segment" sheetId="11" r:id="rId10"/>
    <sheet name="Sales by SubCategory" sheetId="12" r:id="rId11"/>
    <sheet name="Profit by SubCategory" sheetId="13" r:id="rId12"/>
    <sheet name="Discount" sheetId="14" r:id="rId13"/>
    <sheet name="Executive Summary" sheetId="16" r:id="rId14"/>
    <sheet name="Sheet1" sheetId="15" r:id="rId15"/>
    <sheet name="SuperStoreOrdersfi_cleaned_EDA" sheetId="1" r:id="rId16"/>
  </sheets>
  <calcPr calcId="191029"/>
  <pivotCaches>
    <pivotCache cacheId="0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 a="1"/>
  <c r="B4" i="2" s="1"/>
  <c r="B6" i="2" s="1"/>
  <c r="B5" i="2" a="1"/>
  <c r="B5" i="2" s="1"/>
  <c r="B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<sst xmlns="http://schemas.openxmlformats.org/spreadsheetml/2006/main" count="13233" uniqueCount="3935">
  <si>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</si>
  <si>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</si>
  <si>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</si>
  <si>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</si>
  <si>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</si>
  <si>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</si>
  <si>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</si>
  <si>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</si>
  <si>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</si>
  <si>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</si>
  <si>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</si>
  <si>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</si>
  <si>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</si>
  <si>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</si>
  <si>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</si>
  <si>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</si>
  <si>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</si>
  <si>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</si>
  <si>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</si>
  <si>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order_priority</t>
  </si>
  <si>
    <t>year</t>
  </si>
  <si>
    <t>ID-2014-23075</t>
  </si>
  <si>
    <t>Standard Class</t>
  </si>
  <si>
    <t>Nicole Hansen</t>
  </si>
  <si>
    <t>Corporate</t>
  </si>
  <si>
    <t>Jawa Barat</t>
  </si>
  <si>
    <t>Indonesia</t>
  </si>
  <si>
    <t>APAC</t>
  </si>
  <si>
    <t>Southeast Asia</t>
  </si>
  <si>
    <t>OFF-BI-10001400</t>
  </si>
  <si>
    <t>Office Supplies</t>
  </si>
  <si>
    <t>Binders</t>
  </si>
  <si>
    <t>Cardinal 3-Hole Punch, Economy</t>
  </si>
  <si>
    <t>Medium</t>
  </si>
  <si>
    <t>MX-2014-113236</t>
  </si>
  <si>
    <t>Emily Ducich</t>
  </si>
  <si>
    <t>Home Office</t>
  </si>
  <si>
    <t>SÃ£o Paulo</t>
  </si>
  <si>
    <t>Brazil</t>
  </si>
  <si>
    <t>LATAM</t>
  </si>
  <si>
    <t>South</t>
  </si>
  <si>
    <t>OFF-AP-10001548</t>
  </si>
  <si>
    <t>Appliances</t>
  </si>
  <si>
    <t>Hoover Toaster, Silver</t>
  </si>
  <si>
    <t>ES-2014-3909772</t>
  </si>
  <si>
    <t>Second Class</t>
  </si>
  <si>
    <t>Jennifer Braxton</t>
  </si>
  <si>
    <t>Apulia</t>
  </si>
  <si>
    <t>Italy</t>
  </si>
  <si>
    <t>EU</t>
  </si>
  <si>
    <t>OFF-BI-10002799</t>
  </si>
  <si>
    <t>Cardinal Binder Covers, Clear</t>
  </si>
  <si>
    <t>IT-2011-2536577</t>
  </si>
  <si>
    <t>Alan Shonely</t>
  </si>
  <si>
    <t>Consumer</t>
  </si>
  <si>
    <t>Languedoc-Roussillon</t>
  </si>
  <si>
    <t>France</t>
  </si>
  <si>
    <t>Central</t>
  </si>
  <si>
    <t>FUR-FU-10002557</t>
  </si>
  <si>
    <t>Furniture</t>
  </si>
  <si>
    <t>Furnishings</t>
  </si>
  <si>
    <t>Rubbermaid Stacking Tray, Erganomic</t>
  </si>
  <si>
    <t>ES-2014-2949307</t>
  </si>
  <si>
    <t>Andy Reiter</t>
  </si>
  <si>
    <t>Ile-de-France</t>
  </si>
  <si>
    <t>OFF-ST-10004577</t>
  </si>
  <si>
    <t>Storage</t>
  </si>
  <si>
    <t>Tenex Shelving, Wire Frame</t>
  </si>
  <si>
    <t>Critical</t>
  </si>
  <si>
    <t>IN-2014-14458</t>
  </si>
  <si>
    <t>Guy Thornton</t>
  </si>
  <si>
    <t>Odisha</t>
  </si>
  <si>
    <t>India</t>
  </si>
  <si>
    <t>Central Asia</t>
  </si>
  <si>
    <t>OFF-LA-10002123</t>
  </si>
  <si>
    <t>Labels</t>
  </si>
  <si>
    <t>Smead Legal Exhibit Labels, Alphabetical</t>
  </si>
  <si>
    <t>Low</t>
  </si>
  <si>
    <t>IN-2014-46777</t>
  </si>
  <si>
    <t>Katherine Ducich</t>
  </si>
  <si>
    <t>Gujarat</t>
  </si>
  <si>
    <t>OFF-LA-10000624</t>
  </si>
  <si>
    <t>Hon File Folder Labels, 5000 Label Set</t>
  </si>
  <si>
    <t>TU-2014-6410</t>
  </si>
  <si>
    <t>First Class</t>
  </si>
  <si>
    <t>Chuck Magee</t>
  </si>
  <si>
    <t>Istanbul</t>
  </si>
  <si>
    <t>Turkey</t>
  </si>
  <si>
    <t>EMEA</t>
  </si>
  <si>
    <t>OFF-STA-10002719</t>
  </si>
  <si>
    <t>Art</t>
  </si>
  <si>
    <t>Stanley Pencil Sharpener, Easy-Erase</t>
  </si>
  <si>
    <t>IN-2013-50536</t>
  </si>
  <si>
    <t>John Huston</t>
  </si>
  <si>
    <t>Khyber Pakhtunkhwa</t>
  </si>
  <si>
    <t>Pakistan</t>
  </si>
  <si>
    <t>OFF-FA-10004067</t>
  </si>
  <si>
    <t>Fasteners</t>
  </si>
  <si>
    <t>Stockwell Rubber Bands, 12 Pack</t>
  </si>
  <si>
    <t>High</t>
  </si>
  <si>
    <t>US-2013-115756</t>
  </si>
  <si>
    <t>Julie Kriz</t>
  </si>
  <si>
    <t>AtlÃ¡ntida</t>
  </si>
  <si>
    <t>Honduras</t>
  </si>
  <si>
    <t>OFF-PA-10000915</t>
  </si>
  <si>
    <t>Paper</t>
  </si>
  <si>
    <t>Eaton Note Cards, 8.5 x 11</t>
  </si>
  <si>
    <t>IZ-2013-3780</t>
  </si>
  <si>
    <t>Craig Molinari</t>
  </si>
  <si>
    <t>Al Qadisiyah</t>
  </si>
  <si>
    <t>Iraq</t>
  </si>
  <si>
    <t>OFF-BOS-10000577</t>
  </si>
  <si>
    <t>Boston Highlighters, Blue</t>
  </si>
  <si>
    <t>SU-2013-4080</t>
  </si>
  <si>
    <t>Joy Daniels</t>
  </si>
  <si>
    <t>Gezira</t>
  </si>
  <si>
    <t>Sudan</t>
  </si>
  <si>
    <t>Africa</t>
  </si>
  <si>
    <t>OFF-AVE-10004556</t>
  </si>
  <si>
    <t>Avery Hole Reinforcements, Recycled</t>
  </si>
  <si>
    <t>IN-2011-31496</t>
  </si>
  <si>
    <t>Nathan Mautz</t>
  </si>
  <si>
    <t>Telangana</t>
  </si>
  <si>
    <t>OFF-PA-10000070</t>
  </si>
  <si>
    <t>Eaton Computer Printout Paper, Recycled</t>
  </si>
  <si>
    <t>IT-2013-1399443</t>
  </si>
  <si>
    <t>Harry Marie</t>
  </si>
  <si>
    <t>England</t>
  </si>
  <si>
    <t>United Kingdom</t>
  </si>
  <si>
    <t>North</t>
  </si>
  <si>
    <t>OFF-ST-10002263</t>
  </si>
  <si>
    <t>Rogers Trays, Wire Frame</t>
  </si>
  <si>
    <t>CA-2014-112725</t>
  </si>
  <si>
    <t>Eugene Hildebrand</t>
  </si>
  <si>
    <t>California</t>
  </si>
  <si>
    <t>United States</t>
  </si>
  <si>
    <t>US</t>
  </si>
  <si>
    <t>West</t>
  </si>
  <si>
    <t>FUR-CH-10000863</t>
  </si>
  <si>
    <t>Chairs</t>
  </si>
  <si>
    <t>Novimex Swivel Fabric Task Chair</t>
  </si>
  <si>
    <t>NI-2012-7400</t>
  </si>
  <si>
    <t>Greg Tran</t>
  </si>
  <si>
    <t>Kano</t>
  </si>
  <si>
    <t>Nigeria</t>
  </si>
  <si>
    <t>TEC-CIS-10003103</t>
  </si>
  <si>
    <t>Technology</t>
  </si>
  <si>
    <t>Phones</t>
  </si>
  <si>
    <t>Cisco Office Telephone, VoIP</t>
  </si>
  <si>
    <t>IN-2014-13296</t>
  </si>
  <si>
    <t>Dennis Kane</t>
  </si>
  <si>
    <t>Hainan</t>
  </si>
  <si>
    <t>China</t>
  </si>
  <si>
    <t>North Asia</t>
  </si>
  <si>
    <t>OFF-LA-10002020</t>
  </si>
  <si>
    <t>Novimex Color Coded Labels, 5000 Label Set</t>
  </si>
  <si>
    <t>CA-2011-126907</t>
  </si>
  <si>
    <t>Suzanne McNair</t>
  </si>
  <si>
    <t>Illinois</t>
  </si>
  <si>
    <t>OFF-PA-10000533</t>
  </si>
  <si>
    <t>Southworth Parchment Paper &amp; Envelopes</t>
  </si>
  <si>
    <t>LY-2014-4680</t>
  </si>
  <si>
    <t>Sample Company A</t>
  </si>
  <si>
    <t>Misratah</t>
  </si>
  <si>
    <t>Libya</t>
  </si>
  <si>
    <t>TEC-CIS-10003439</t>
  </si>
  <si>
    <t>Cisco Headset, VoIP</t>
  </si>
  <si>
    <t>IN-2014-32014</t>
  </si>
  <si>
    <t>Craig Yedwab</t>
  </si>
  <si>
    <t>Jiangxi</t>
  </si>
  <si>
    <t>OFF-BI-10000439</t>
  </si>
  <si>
    <t>Acco Hole Reinforcements, Economy</t>
  </si>
  <si>
    <t>MG-2011-9660</t>
  </si>
  <si>
    <t>Sally Hughsby</t>
  </si>
  <si>
    <t>Ulaanbaatar</t>
  </si>
  <si>
    <t>Mongolia</t>
  </si>
  <si>
    <t>OFF-FEL-10002867</t>
  </si>
  <si>
    <t>Fellowes Lockers, Single Width</t>
  </si>
  <si>
    <t>ES-2014-2538935</t>
  </si>
  <si>
    <t>Tanja Norvell</t>
  </si>
  <si>
    <t>OFF-AR-10001759</t>
  </si>
  <si>
    <t>Sanford Sketch Pad, Fluorescent</t>
  </si>
  <si>
    <t>IN-2012-23089</t>
  </si>
  <si>
    <t>Xylona Preis</t>
  </si>
  <si>
    <t>Guangdong</t>
  </si>
  <si>
    <t>OFF-LA-10000707</t>
  </si>
  <si>
    <t>Avery Removable Labels, Adjustable</t>
  </si>
  <si>
    <t>CA-2011-157147</t>
  </si>
  <si>
    <t>Brian Dahlen</t>
  </si>
  <si>
    <t>OFF-ST-10000078</t>
  </si>
  <si>
    <t>Tennsco 6- and 18-Compartment Lockers</t>
  </si>
  <si>
    <t>IN-2014-27303</t>
  </si>
  <si>
    <t>Ruben Ausman</t>
  </si>
  <si>
    <t>Beijing</t>
  </si>
  <si>
    <t>TEC-MA-10004424</t>
  </si>
  <si>
    <t>Machines</t>
  </si>
  <si>
    <t>Panasonic Phone, Durable</t>
  </si>
  <si>
    <t>NI-2013-6670</t>
  </si>
  <si>
    <t>Aaron Hawkins</t>
  </si>
  <si>
    <t>Rivers</t>
  </si>
  <si>
    <t>OFF-SME-10003134</t>
  </si>
  <si>
    <t>Smead Box, Single Width</t>
  </si>
  <si>
    <t>ES-2014-5167464</t>
  </si>
  <si>
    <t>Alan Haines</t>
  </si>
  <si>
    <t>North Rhine-Westphalia</t>
  </si>
  <si>
    <t>Germany</t>
  </si>
  <si>
    <t>OFF-LA-10004727</t>
  </si>
  <si>
    <t>Hon File Folder Labels, Laser Printer Compatible</t>
  </si>
  <si>
    <t>IN-2011-81833</t>
  </si>
  <si>
    <t>Troy Staebel</t>
  </si>
  <si>
    <t>Wellington</t>
  </si>
  <si>
    <t>New Zealand</t>
  </si>
  <si>
    <t>Oceania</t>
  </si>
  <si>
    <t>TEC-PH-10004575</t>
  </si>
  <si>
    <t>Motorola Smart Phone, Cordless</t>
  </si>
  <si>
    <t>CA-2014-3540</t>
  </si>
  <si>
    <t>Trudy Glocke</t>
  </si>
  <si>
    <t>Ontario</t>
  </si>
  <si>
    <t>Canada</t>
  </si>
  <si>
    <t>TEC-CIS-10003017</t>
  </si>
  <si>
    <t>Cisco Signal Booster, with Caller ID</t>
  </si>
  <si>
    <t>IT-2013-2494403</t>
  </si>
  <si>
    <t>Jason Fortune-</t>
  </si>
  <si>
    <t>Madrid</t>
  </si>
  <si>
    <t>Spain</t>
  </si>
  <si>
    <t>OFF-AR-10000785</t>
  </si>
  <si>
    <t>BIC Sketch Pad, Water Color</t>
  </si>
  <si>
    <t>IN-2012-40029</t>
  </si>
  <si>
    <t>Muhammed Yedwab</t>
  </si>
  <si>
    <t>Sichuan</t>
  </si>
  <si>
    <t>OFF-ST-10001752</t>
  </si>
  <si>
    <t>US-2013-116771</t>
  </si>
  <si>
    <t>Same Day</t>
  </si>
  <si>
    <t>Rick Hansen</t>
  </si>
  <si>
    <t>La Vega</t>
  </si>
  <si>
    <t>Dominican Republic</t>
  </si>
  <si>
    <t>Caribbean</t>
  </si>
  <si>
    <t>OFF-AR-10000904</t>
  </si>
  <si>
    <t>Sanford Sketch Pad, Blue</t>
  </si>
  <si>
    <t>IN-2013-52734</t>
  </si>
  <si>
    <t>Jim Mitchum</t>
  </si>
  <si>
    <t>Tokyo</t>
  </si>
  <si>
    <t>Japan</t>
  </si>
  <si>
    <t>OFF-ST-10003017</t>
  </si>
  <si>
    <t>Tenex Box, Industrial</t>
  </si>
  <si>
    <t>NI-2014-8880</t>
  </si>
  <si>
    <t>Tamara Chand</t>
  </si>
  <si>
    <t>Abia</t>
  </si>
  <si>
    <t>OFF-BOS-10002073</t>
  </si>
  <si>
    <t>Boston Canvas, Water Color</t>
  </si>
  <si>
    <t>NI-2011-4760</t>
  </si>
  <si>
    <t>Darrin Van Huff</t>
  </si>
  <si>
    <t>Lagos</t>
  </si>
  <si>
    <t>OFF-HOO-10002715</t>
  </si>
  <si>
    <t>Hoover Coffee Grinder, White</t>
  </si>
  <si>
    <t>CA-2011-117345</t>
  </si>
  <si>
    <t>Barbara Fisher</t>
  </si>
  <si>
    <t>North Carolina</t>
  </si>
  <si>
    <t>OFF-LA-10000240</t>
  </si>
  <si>
    <t>Self-Adhesive Address Labels for Typewriters by Universal</t>
  </si>
  <si>
    <t>IT-2014-3798415</t>
  </si>
  <si>
    <t>Sheri Gordon</t>
  </si>
  <si>
    <t>Lisboa</t>
  </si>
  <si>
    <t>Portugal</t>
  </si>
  <si>
    <t>TEC-PH-10004772</t>
  </si>
  <si>
    <t>Motorola Signal Booster, VoIP</t>
  </si>
  <si>
    <t>IR-2011-3890</t>
  </si>
  <si>
    <t>Bradley Talbott</t>
  </si>
  <si>
    <t>Markazi</t>
  </si>
  <si>
    <t>Iran</t>
  </si>
  <si>
    <t>TEC-ENE-10004627</t>
  </si>
  <si>
    <t>Accessories</t>
  </si>
  <si>
    <t>Enermax Router, Erganomic</t>
  </si>
  <si>
    <t>IT-2013-4258921</t>
  </si>
  <si>
    <t>Paul Stevenson</t>
  </si>
  <si>
    <t>Campania</t>
  </si>
  <si>
    <t>FUR-CH-10002152</t>
  </si>
  <si>
    <t>Hon Bag Chairs, Set of Two</t>
  </si>
  <si>
    <t>MX-2011-165526</t>
  </si>
  <si>
    <t>Michael Paige</t>
  </si>
  <si>
    <t>AtlÃ¡ntico</t>
  </si>
  <si>
    <t>Colombia</t>
  </si>
  <si>
    <t>TEC-AC-10003047</t>
  </si>
  <si>
    <t>SanDisk Keyboard, USB</t>
  </si>
  <si>
    <t>ES-2014-5706764</t>
  </si>
  <si>
    <t>Tracy Collins</t>
  </si>
  <si>
    <t>Sicily</t>
  </si>
  <si>
    <t>OFF-BI-10003999</t>
  </si>
  <si>
    <t>Avery Hole Reinforcements, Clear</t>
  </si>
  <si>
    <t>CA-2014-161102</t>
  </si>
  <si>
    <t>Erin Creighton</t>
  </si>
  <si>
    <t>OFF-ST-10003442</t>
  </si>
  <si>
    <t>Eldon Portable Mobile Manager</t>
  </si>
  <si>
    <t>PL-2013-2260</t>
  </si>
  <si>
    <t>Steve Carroll</t>
  </si>
  <si>
    <t>Silesia</t>
  </si>
  <si>
    <t>Poland</t>
  </si>
  <si>
    <t>FUR-ADV-10004395</t>
  </si>
  <si>
    <t>Advantus Door Stop, Durable</t>
  </si>
  <si>
    <t>ES-2011-3104322</t>
  </si>
  <si>
    <t>Frank Olsen</t>
  </si>
  <si>
    <t>Poitou-Charentes</t>
  </si>
  <si>
    <t>OFF-AR-10002640</t>
  </si>
  <si>
    <t>Boston Pens, Blue</t>
  </si>
  <si>
    <t>US-2011-157021</t>
  </si>
  <si>
    <t>Kunst Miller</t>
  </si>
  <si>
    <t>OFF-BI-10000042</t>
  </si>
  <si>
    <t>Pressboard Data Binder, Crimson, 12" X 8 1/2"</t>
  </si>
  <si>
    <t>CA-2014-161893</t>
  </si>
  <si>
    <t>Harold Pawlan</t>
  </si>
  <si>
    <t>Arizona</t>
  </si>
  <si>
    <t>OFF-BI-10004506</t>
  </si>
  <si>
    <t>Wilson Jones data.warehouse D-Ring Binders with DublLock</t>
  </si>
  <si>
    <t>ID-2011-86950</t>
  </si>
  <si>
    <t>Sung Shariari</t>
  </si>
  <si>
    <t>Queensland</t>
  </si>
  <si>
    <t>Australia</t>
  </si>
  <si>
    <t>OFF-AR-10000751</t>
  </si>
  <si>
    <t>Binney &amp; Smith Highlighters, Blue</t>
  </si>
  <si>
    <t>BU-2012-7980</t>
  </si>
  <si>
    <t>Roger Demir</t>
  </si>
  <si>
    <t>Sofiya-Grad</t>
  </si>
  <si>
    <t>Bulgaria</t>
  </si>
  <si>
    <t>TEC-SAM-10000779</t>
  </si>
  <si>
    <t>Samsung Signal Booster, Cordless</t>
  </si>
  <si>
    <t>IT-2012-5303768</t>
  </si>
  <si>
    <t>Scot Coram</t>
  </si>
  <si>
    <t>AndalusÃ­a</t>
  </si>
  <si>
    <t>FUR-TA-10000323</t>
  </si>
  <si>
    <t>Tables</t>
  </si>
  <si>
    <t>Lesro Round Table, Fully Assembled</t>
  </si>
  <si>
    <t>IN-2013-40218</t>
  </si>
  <si>
    <t>Shanxi</t>
  </si>
  <si>
    <t>OFF-PA-10000116</t>
  </si>
  <si>
    <t>Xerox Parchment Paper, Premium</t>
  </si>
  <si>
    <t>ID-2014-23201</t>
  </si>
  <si>
    <t>Susan Gilcrest</t>
  </si>
  <si>
    <t>New South Wales</t>
  </si>
  <si>
    <t>FUR-BO-10001934</t>
  </si>
  <si>
    <t>Bookcases</t>
  </si>
  <si>
    <t>Bush Library with Doors, Metal</t>
  </si>
  <si>
    <t>CA-2011-113880</t>
  </si>
  <si>
    <t>Vicky Freymann</t>
  </si>
  <si>
    <t>MX-2013-151022</t>
  </si>
  <si>
    <t>Roland Schwarz</t>
  </si>
  <si>
    <t>Pernambuco</t>
  </si>
  <si>
    <t>TEC-CO-10000887</t>
  </si>
  <si>
    <t>Copiers</t>
  </si>
  <si>
    <t>Hewlett Copy Machine, High-Speed</t>
  </si>
  <si>
    <t>IT-2013-5130549</t>
  </si>
  <si>
    <t>Greg Matthias</t>
  </si>
  <si>
    <t>Midi-PyrÃ©nÃ©es</t>
  </si>
  <si>
    <t>OFF-ST-10001413</t>
  </si>
  <si>
    <t>Rogers Folders, Blue</t>
  </si>
  <si>
    <t>ES-2014-2172414</t>
  </si>
  <si>
    <t>Darren Koutras</t>
  </si>
  <si>
    <t>Lower Saxony</t>
  </si>
  <si>
    <t>FUR-CH-10002610</t>
  </si>
  <si>
    <t>Novimex Swivel Stool, Black</t>
  </si>
  <si>
    <t>CA-2012-137946</t>
  </si>
  <si>
    <t>Doug Bickford</t>
  </si>
  <si>
    <t>OFF-BI-10004140</t>
  </si>
  <si>
    <t>Avery Non-Stick Binders</t>
  </si>
  <si>
    <t>ES-2013-2898079</t>
  </si>
  <si>
    <t>Joel Jenkins</t>
  </si>
  <si>
    <t>OFF-BI-10003114</t>
  </si>
  <si>
    <t>Ibico Hole Reinforcements, Economy</t>
  </si>
  <si>
    <t>CA-2014-139304</t>
  </si>
  <si>
    <t>Vivek Gonzalez</t>
  </si>
  <si>
    <t>OFF-SU-10001664</t>
  </si>
  <si>
    <t>Supplies</t>
  </si>
  <si>
    <t>Acme Office Executive Series Stainless Steel Trimmers</t>
  </si>
  <si>
    <t>ID-2013-75869</t>
  </si>
  <si>
    <t>Sue Ann Reed</t>
  </si>
  <si>
    <t>Victoria</t>
  </si>
  <si>
    <t>OFF-PA-10002479</t>
  </si>
  <si>
    <t>Enermax Cards &amp; Envelopes, 8.5 x 11</t>
  </si>
  <si>
    <t>TU-2011-5460</t>
  </si>
  <si>
    <t>Jay Fein</t>
  </si>
  <si>
    <t>Izmir</t>
  </si>
  <si>
    <t>OFF-XER-10001746</t>
  </si>
  <si>
    <t>Xerox Message Books, Premium</t>
  </si>
  <si>
    <t>IN-2014-51635</t>
  </si>
  <si>
    <t>Jim Karlsson</t>
  </si>
  <si>
    <t>Jakarta</t>
  </si>
  <si>
    <t>TEC-CO-10001674</t>
  </si>
  <si>
    <t>Sharp Personal Copier, Color</t>
  </si>
  <si>
    <t>MX-2011-115140</t>
  </si>
  <si>
    <t>Kelly Andreada</t>
  </si>
  <si>
    <t>Managua</t>
  </si>
  <si>
    <t>Nicaragua</t>
  </si>
  <si>
    <t>OFF-PA-10002363</t>
  </si>
  <si>
    <t>Eaton Message Books, Recycled</t>
  </si>
  <si>
    <t>CA-2013-124100</t>
  </si>
  <si>
    <t>Erica Hackney</t>
  </si>
  <si>
    <t>New York</t>
  </si>
  <si>
    <t>East</t>
  </si>
  <si>
    <t>FUR-CH-10003817</t>
  </si>
  <si>
    <t>Global Value Steno Chair, Gray</t>
  </si>
  <si>
    <t>MX-2014-161354</t>
  </si>
  <si>
    <t>Alan Barnes</t>
  </si>
  <si>
    <t>Mayabeque</t>
  </si>
  <si>
    <t>Cuba</t>
  </si>
  <si>
    <t>OFF-AP-10003135</t>
  </si>
  <si>
    <t>KitchenAid Toaster, White</t>
  </si>
  <si>
    <t>US-2011-154767</t>
  </si>
  <si>
    <t>Edward Becker</t>
  </si>
  <si>
    <t>Distrito Capital</t>
  </si>
  <si>
    <t>Venezuela</t>
  </si>
  <si>
    <t>OFF-EN-10003898</t>
  </si>
  <si>
    <t>Envelopes</t>
  </si>
  <si>
    <t>Ames Peel and Seal, Set of 50</t>
  </si>
  <si>
    <t>MX-2014-156566</t>
  </si>
  <si>
    <t>Gene McClure</t>
  </si>
  <si>
    <t>Panama</t>
  </si>
  <si>
    <t>TEC-CO-10000388</t>
  </si>
  <si>
    <t>Canon Fax Machine, Color</t>
  </si>
  <si>
    <t>IN-2012-43165</t>
  </si>
  <si>
    <t>Magdelene Morse</t>
  </si>
  <si>
    <t>Puducherry</t>
  </si>
  <si>
    <t>OFF-AR-10001329</t>
  </si>
  <si>
    <t>BIC Pens, Fluorescent</t>
  </si>
  <si>
    <t>ID-2013-53833</t>
  </si>
  <si>
    <t>Joe Elijah</t>
  </si>
  <si>
    <t>TEC-PH-10003556</t>
  </si>
  <si>
    <t>Samsung Speaker Phone, VoIP</t>
  </si>
  <si>
    <t>IV-2014-6290</t>
  </si>
  <si>
    <t>Parhena Norris</t>
  </si>
  <si>
    <t>Vallee Du Bandama</t>
  </si>
  <si>
    <t>Cote d'Ivoire</t>
  </si>
  <si>
    <t>OFF-FEL-10004665</t>
  </si>
  <si>
    <t>Fellowes Lockers, Blue</t>
  </si>
  <si>
    <t>MO-2013-860</t>
  </si>
  <si>
    <t>Brad Norvell</t>
  </si>
  <si>
    <t>Rabat-SalÃ©-Zemmour-Zaer</t>
  </si>
  <si>
    <t>Morocco</t>
  </si>
  <si>
    <t>FUR-HON-10001343</t>
  </si>
  <si>
    <t>Hon Coffee Table, Fully Assembled</t>
  </si>
  <si>
    <t>ES-2014-2067525</t>
  </si>
  <si>
    <t>Ivan Gibson</t>
  </si>
  <si>
    <t>RhÃ´ne-Alpes</t>
  </si>
  <si>
    <t>OFF-EN-10000353</t>
  </si>
  <si>
    <t>Jiffy Mailers, with clear poly window</t>
  </si>
  <si>
    <t>IN-2013-73412</t>
  </si>
  <si>
    <t>Alice McCarthy</t>
  </si>
  <si>
    <t>Bihar</t>
  </si>
  <si>
    <t>TEC-CO-10001419</t>
  </si>
  <si>
    <t>Hewlett Copy Machine, Color</t>
  </si>
  <si>
    <t>ES-2013-5080538</t>
  </si>
  <si>
    <t>Michelle Ellison</t>
  </si>
  <si>
    <t>Hesse</t>
  </si>
  <si>
    <t>OFF-SU-10001578</t>
  </si>
  <si>
    <t>Stiletto Shears, High Speed</t>
  </si>
  <si>
    <t>ES-2013-4405513</t>
  </si>
  <si>
    <t>Julia Dunbar</t>
  </si>
  <si>
    <t>OFF-BI-10000440</t>
  </si>
  <si>
    <t>Acco Index Tab, Economy</t>
  </si>
  <si>
    <t>IN-2012-51173</t>
  </si>
  <si>
    <t>Theresa Coyne</t>
  </si>
  <si>
    <t>TEC-MA-10003351</t>
  </si>
  <si>
    <t>Okidata Card Printer, White</t>
  </si>
  <si>
    <t>ES-2013-5306452</t>
  </si>
  <si>
    <t>Mitch Webber</t>
  </si>
  <si>
    <t>Veneto</t>
  </si>
  <si>
    <t>OFF-EN-10004296</t>
  </si>
  <si>
    <t>GlobeWeis Mailers, Security-Tint</t>
  </si>
  <si>
    <t>BN-2011-1530</t>
  </si>
  <si>
    <t>Nona Balk</t>
  </si>
  <si>
    <t>Littoral</t>
  </si>
  <si>
    <t>Benin</t>
  </si>
  <si>
    <t>OFF-FIS-10004915</t>
  </si>
  <si>
    <t>Fiskars Trimmer, Easy Grip</t>
  </si>
  <si>
    <t>ID-2014-82463</t>
  </si>
  <si>
    <t>Pete Kriz</t>
  </si>
  <si>
    <t>Otago</t>
  </si>
  <si>
    <t>TEC-CO-10004756</t>
  </si>
  <si>
    <t>Sharp Wireless Fax, Digital</t>
  </si>
  <si>
    <t>MX-2014-167899</t>
  </si>
  <si>
    <t>Marc Harrigan</t>
  </si>
  <si>
    <t>San Pedro de MacorÃ­s</t>
  </si>
  <si>
    <t>TEC-AC-10004743</t>
  </si>
  <si>
    <t>Logitech Router, USB</t>
  </si>
  <si>
    <t>ES-2013-2386093</t>
  </si>
  <si>
    <t>Nathan Gelder</t>
  </si>
  <si>
    <t>FUR-BO-10000684</t>
  </si>
  <si>
    <t>Sauder Corner Shelving, Traditional</t>
  </si>
  <si>
    <t>TU-2012-4890</t>
  </si>
  <si>
    <t>Arianne Irving</t>
  </si>
  <si>
    <t>Kahramanmaras</t>
  </si>
  <si>
    <t>OFF-KIT-10001609</t>
  </si>
  <si>
    <t>KitchenAid Coffee Grinder, Red</t>
  </si>
  <si>
    <t>ES-2013-3509742</t>
  </si>
  <si>
    <t>Bill Eplett</t>
  </si>
  <si>
    <t>Marche</t>
  </si>
  <si>
    <t>OFF-PA-10003907</t>
  </si>
  <si>
    <t>Eaton Message Books, Premium</t>
  </si>
  <si>
    <t>CA-2012-153388</t>
  </si>
  <si>
    <t>Pauline Chand</t>
  </si>
  <si>
    <t>OFF-AR-10001868</t>
  </si>
  <si>
    <t>Prang Dustless Chalk Sticks</t>
  </si>
  <si>
    <t>ES-2014-5318878</t>
  </si>
  <si>
    <t>Justin Hirsh</t>
  </si>
  <si>
    <t>Aquitaine</t>
  </si>
  <si>
    <t>TEC-MA-10004933</t>
  </si>
  <si>
    <t>Konica Phone, Wireless</t>
  </si>
  <si>
    <t>ES-2014-2280822</t>
  </si>
  <si>
    <t>Roy Phan</t>
  </si>
  <si>
    <t>Wales</t>
  </si>
  <si>
    <t>OFF-ST-10002042</t>
  </si>
  <si>
    <t>Fellowes Folders, Industrial</t>
  </si>
  <si>
    <t>ID-2011-56969</t>
  </si>
  <si>
    <t>Fred McMath</t>
  </si>
  <si>
    <t>Hubei</t>
  </si>
  <si>
    <t>TEC-PH-10004281</t>
  </si>
  <si>
    <t>Samsung Audio Dock, Cordless</t>
  </si>
  <si>
    <t>ZA-2014-6660</t>
  </si>
  <si>
    <t>Sean Wendt</t>
  </si>
  <si>
    <t>Lusaka</t>
  </si>
  <si>
    <t>Zambia</t>
  </si>
  <si>
    <t>TEC-HEW-10002304</t>
  </si>
  <si>
    <t>Hewlett Fax Machine, High-Speed</t>
  </si>
  <si>
    <t>US-2013-140494</t>
  </si>
  <si>
    <t>Rachel Payne</t>
  </si>
  <si>
    <t>Buenos Aires</t>
  </si>
  <si>
    <t>Argentina</t>
  </si>
  <si>
    <t>OFF-BI-10001167</t>
  </si>
  <si>
    <t>Wilson Jones Binder, Clear</t>
  </si>
  <si>
    <t>CA-2012-138625</t>
  </si>
  <si>
    <t>Emily Grady</t>
  </si>
  <si>
    <t>Virginia</t>
  </si>
  <si>
    <t>OFF-AP-10003099</t>
  </si>
  <si>
    <t>Eureka Hand Vacuum, Bagless</t>
  </si>
  <si>
    <t>IZ-2013-230</t>
  </si>
  <si>
    <t>Mark Haberlin</t>
  </si>
  <si>
    <t>Al Basrah</t>
  </si>
  <si>
    <t>OFF-KIT-10002357</t>
  </si>
  <si>
    <t>KitchenAid Blender, White</t>
  </si>
  <si>
    <t>IN-2013-42311</t>
  </si>
  <si>
    <t>Maya Herman</t>
  </si>
  <si>
    <t>Tianjin</t>
  </si>
  <si>
    <t>OFF-AR-10001529</t>
  </si>
  <si>
    <t>Sanford Pens, Fluorescent</t>
  </si>
  <si>
    <t>ES-2013-5114494</t>
  </si>
  <si>
    <t>Katrina Willman</t>
  </si>
  <si>
    <t>FUR-BO-10001324</t>
  </si>
  <si>
    <t>Sauder Floating Shelf Set, Pine</t>
  </si>
  <si>
    <t>ES-2011-3525697</t>
  </si>
  <si>
    <t>Jack Lebron</t>
  </si>
  <si>
    <t>Lombardy</t>
  </si>
  <si>
    <t>OFF-ST-10000130</t>
  </si>
  <si>
    <t>Eldon Trays, Wire Frame</t>
  </si>
  <si>
    <t>ES-2013-1436499</t>
  </si>
  <si>
    <t>Irene Maddox</t>
  </si>
  <si>
    <t>TEC-PH-10003325</t>
  </si>
  <si>
    <t>Samsung Speaker Phone, with Caller ID</t>
  </si>
  <si>
    <t>KE-2014-4540</t>
  </si>
  <si>
    <t>Carl Ludwig</t>
  </si>
  <si>
    <t>Nairobi</t>
  </si>
  <si>
    <t>Kenya</t>
  </si>
  <si>
    <t>OFF-STI-10001162</t>
  </si>
  <si>
    <t>Stiletto Letter Opener, Steel</t>
  </si>
  <si>
    <t>IT-2011-3203475</t>
  </si>
  <si>
    <t>Bobby Odegard</t>
  </si>
  <si>
    <t>North Holland</t>
  </si>
  <si>
    <t>Netherlands</t>
  </si>
  <si>
    <t>FUR-FU-10001086</t>
  </si>
  <si>
    <t>Advantus Frame, Black</t>
  </si>
  <si>
    <t>CA-2014-138618</t>
  </si>
  <si>
    <t>Maribeth Yedwab</t>
  </si>
  <si>
    <t>Texas</t>
  </si>
  <si>
    <t>OFF-PA-10000520</t>
  </si>
  <si>
    <t>Xerox 201</t>
  </si>
  <si>
    <t>CA-2014-122539</t>
  </si>
  <si>
    <t>Sean Christensen</t>
  </si>
  <si>
    <t>Pennsylvania</t>
  </si>
  <si>
    <t>OFF-LA-10004853</t>
  </si>
  <si>
    <t>Avery 483</t>
  </si>
  <si>
    <t>US-2013-168074</t>
  </si>
  <si>
    <t>Roger Barcio</t>
  </si>
  <si>
    <t>Lima (city)</t>
  </si>
  <si>
    <t>Peru</t>
  </si>
  <si>
    <t>TEC-PH-10004242</t>
  </si>
  <si>
    <t>Apple Speaker Phone, VoIP</t>
  </si>
  <si>
    <t>ES-2014-2933395</t>
  </si>
  <si>
    <t>Jennifer Patt</t>
  </si>
  <si>
    <t>OFF-AR-10003651</t>
  </si>
  <si>
    <t>Sanford Pencil Sharpener, Easy-Erase</t>
  </si>
  <si>
    <t>CA-2012-104514</t>
  </si>
  <si>
    <t>Claudia Bergmann</t>
  </si>
  <si>
    <t>Delaware</t>
  </si>
  <si>
    <t>OFF-AR-10001473</t>
  </si>
  <si>
    <t>Newell 313</t>
  </si>
  <si>
    <t>ES-2012-1663353</t>
  </si>
  <si>
    <t>Muhammed Lee</t>
  </si>
  <si>
    <t>OFF-FA-10000256</t>
  </si>
  <si>
    <t>Advantus Clamps, Bulk Pack</t>
  </si>
  <si>
    <t>ES-2011-1664904</t>
  </si>
  <si>
    <t>Pays de la Loire</t>
  </si>
  <si>
    <t>OFF-BI-10000734</t>
  </si>
  <si>
    <t>Avery Binding Machine, Recycled</t>
  </si>
  <si>
    <t>MX-2014-169418</t>
  </si>
  <si>
    <t>Christine Phan</t>
  </si>
  <si>
    <t>Guatemala</t>
  </si>
  <si>
    <t>TEC-PH-10003945</t>
  </si>
  <si>
    <t>Nokia Audio Dock, VoIP</t>
  </si>
  <si>
    <t>US-2014-150315</t>
  </si>
  <si>
    <t>Denny Ordway</t>
  </si>
  <si>
    <t>Santo Domingo</t>
  </si>
  <si>
    <t>FUR-CH-10004725</t>
  </si>
  <si>
    <t>Office Star Bag Chairs, Set of Two</t>
  </si>
  <si>
    <t>IN-2013-82554</t>
  </si>
  <si>
    <t>Robert Dilbeck</t>
  </si>
  <si>
    <t>Marlborough</t>
  </si>
  <si>
    <t>TEC-CO-10001445</t>
  </si>
  <si>
    <t>Brother Personal Copier, High-Speed</t>
  </si>
  <si>
    <t>IN-2011-52748</t>
  </si>
  <si>
    <t>Ben Wallace</t>
  </si>
  <si>
    <t>Jawa Timur</t>
  </si>
  <si>
    <t>OFF-FA-10001702</t>
  </si>
  <si>
    <t>Advantus Push Pins, 12 Pack</t>
  </si>
  <si>
    <t>ES-2013-2481532</t>
  </si>
  <si>
    <t>Michelle Tran</t>
  </si>
  <si>
    <t>OFF-BI-10002354</t>
  </si>
  <si>
    <t>Acco Binder, Clear</t>
  </si>
  <si>
    <t>UZ-2012-9360</t>
  </si>
  <si>
    <t>Dianna Wilson</t>
  </si>
  <si>
    <t>Namangan</t>
  </si>
  <si>
    <t>Uzbekistan</t>
  </si>
  <si>
    <t>OFF-STO-10003021</t>
  </si>
  <si>
    <t>Stockwell Thumb Tacks, 12 Pack</t>
  </si>
  <si>
    <t>NI-2013-3260</t>
  </si>
  <si>
    <t>Bart Folk</t>
  </si>
  <si>
    <t>TEC-STA-10002650</t>
  </si>
  <si>
    <t>StarTech Card Printer, Wireless</t>
  </si>
  <si>
    <t>RS-2014-7500</t>
  </si>
  <si>
    <t>Evan Minnotte</t>
  </si>
  <si>
    <t>Stavropol'</t>
  </si>
  <si>
    <t>Russia</t>
  </si>
  <si>
    <t>IN-2011-18959</t>
  </si>
  <si>
    <t>Cynthia Arntzen</t>
  </si>
  <si>
    <t>Madhya Pradesh</t>
  </si>
  <si>
    <t>TEC-AC-10000398</t>
  </si>
  <si>
    <t>SanDisk Memory Card, Programmable</t>
  </si>
  <si>
    <t>CA-2012-129770</t>
  </si>
  <si>
    <t>New Mexico</t>
  </si>
  <si>
    <t>OFF-PA-10000249</t>
  </si>
  <si>
    <t>Staples</t>
  </si>
  <si>
    <t>IN-2013-52944</t>
  </si>
  <si>
    <t>Chittagong</t>
  </si>
  <si>
    <t>Bangladesh</t>
  </si>
  <si>
    <t>OFF-BI-10002562</t>
  </si>
  <si>
    <t>Ibico Binding Machine, Durable</t>
  </si>
  <si>
    <t>TZ-2013-620</t>
  </si>
  <si>
    <t>Kigoma</t>
  </si>
  <si>
    <t>Tanzania</t>
  </si>
  <si>
    <t>OFF-AVE-10004512</t>
  </si>
  <si>
    <t>Avery Hole Reinforcements, Economy</t>
  </si>
  <si>
    <t>TU-2013-510</t>
  </si>
  <si>
    <t>OFF-ROG-10004646</t>
  </si>
  <si>
    <t>Rogers File Cart, Blue</t>
  </si>
  <si>
    <t>ID-2013-22459</t>
  </si>
  <si>
    <t>Eudokia Martin</t>
  </si>
  <si>
    <t>Australian Capital Territory</t>
  </si>
  <si>
    <t>FUR-CH-10000608</t>
  </si>
  <si>
    <t>Office Star Chairmat, Set of Two</t>
  </si>
  <si>
    <t>IN-2013-79929</t>
  </si>
  <si>
    <t>Clay Cheatham</t>
  </si>
  <si>
    <t>OFF-PA-10004815</t>
  </si>
  <si>
    <t>Xerox Note Cards, Premium</t>
  </si>
  <si>
    <t>CA-2012-132374</t>
  </si>
  <si>
    <t>Penelope Sewall</t>
  </si>
  <si>
    <t>Michigan</t>
  </si>
  <si>
    <t>OFF-AR-10001615</t>
  </si>
  <si>
    <t>Newell 34</t>
  </si>
  <si>
    <t>CA-2012-157322</t>
  </si>
  <si>
    <t>Rob Haberlin</t>
  </si>
  <si>
    <t>OFF-ST-10004507</t>
  </si>
  <si>
    <t>Advantus Rolling Storage Box</t>
  </si>
  <si>
    <t>US-2012-169222</t>
  </si>
  <si>
    <t>Tom Boeckenhauer</t>
  </si>
  <si>
    <t>FUR-CH-10004652</t>
  </si>
  <si>
    <t>Hon Bag Chairs, Black</t>
  </si>
  <si>
    <t>MX-2012-140767</t>
  </si>
  <si>
    <t>Ross Baird</t>
  </si>
  <si>
    <t>TEC-AC-10000376</t>
  </si>
  <si>
    <t>Memorex Router, Bluetooth</t>
  </si>
  <si>
    <t>CA-2013-164784</t>
  </si>
  <si>
    <t>Herbert Flentye</t>
  </si>
  <si>
    <t>Tennessee</t>
  </si>
  <si>
    <t>FUR-TA-10004534</t>
  </si>
  <si>
    <t>Bevis 44 x 96 Conference Tables</t>
  </si>
  <si>
    <t>MX-2011-144883</t>
  </si>
  <si>
    <t>Vivek Grady</t>
  </si>
  <si>
    <t>GuantÃ¡namo</t>
  </si>
  <si>
    <t>OFF-BI-10000070</t>
  </si>
  <si>
    <t>Wilson Jones 3-Hole Punch, Clear</t>
  </si>
  <si>
    <t>TZ-2013-140</t>
  </si>
  <si>
    <t>Dar Es Salaam</t>
  </si>
  <si>
    <t>TEC-MEM-10003743</t>
  </si>
  <si>
    <t>Memorex Numeric Keypad, Bluetooth</t>
  </si>
  <si>
    <t>IN-2013-21038</t>
  </si>
  <si>
    <t>Ralph Kennedy</t>
  </si>
  <si>
    <t>TEC-PH-10002320</t>
  </si>
  <si>
    <t>Samsung Speaker Phone, Full Size</t>
  </si>
  <si>
    <t>OFF-ST-10002271</t>
  </si>
  <si>
    <t>Rogers Shelving, Wire Frame</t>
  </si>
  <si>
    <t>US-2012-141250</t>
  </si>
  <si>
    <t>Kimberly Carter</t>
  </si>
  <si>
    <t>CortÃ©s</t>
  </si>
  <si>
    <t>FUR-TA-10000245</t>
  </si>
  <si>
    <t>Chromcraft Computer Table, Adjustable Height</t>
  </si>
  <si>
    <t>MX-2013-128160</t>
  </si>
  <si>
    <t>Mike Caudle</t>
  </si>
  <si>
    <t>Paraguay</t>
  </si>
  <si>
    <t>FUR-FU-10004139</t>
  </si>
  <si>
    <t>Tenex Photo Frame, Duo Pack</t>
  </si>
  <si>
    <t>CA-2013-168956</t>
  </si>
  <si>
    <t>Erin Ashbrook</t>
  </si>
  <si>
    <t>OFF-FA-10000304</t>
  </si>
  <si>
    <t>Advantus Push Pins</t>
  </si>
  <si>
    <t>ID-2014-33638</t>
  </si>
  <si>
    <t>Meg O'Connel</t>
  </si>
  <si>
    <t>National Capital</t>
  </si>
  <si>
    <t>Philippines</t>
  </si>
  <si>
    <t>TEC-CO-10002316</t>
  </si>
  <si>
    <t>Brother Personal Copier, Laser</t>
  </si>
  <si>
    <t>TU-2011-9940</t>
  </si>
  <si>
    <t>Natalie Webber</t>
  </si>
  <si>
    <t>Ankara</t>
  </si>
  <si>
    <t>FUR-BAR-10004553</t>
  </si>
  <si>
    <t>Barricks Training Table, Rectangular</t>
  </si>
  <si>
    <t>OFF-ST-10003208</t>
  </si>
  <si>
    <t>Adjustable Depth Letter/Legal Cart</t>
  </si>
  <si>
    <t>TU-2013-3100</t>
  </si>
  <si>
    <t>Kayseri</t>
  </si>
  <si>
    <t>OFF-TEN-10003127</t>
  </si>
  <si>
    <t>CA-2014-124940</t>
  </si>
  <si>
    <t>Dave Kipp</t>
  </si>
  <si>
    <t>TEC-AC-10002076</t>
  </si>
  <si>
    <t>Microsoft Natural Keyboard Elite</t>
  </si>
  <si>
    <t>EZ-2014-8460</t>
  </si>
  <si>
    <t>Cathy Hwang</t>
  </si>
  <si>
    <t>Prague</t>
  </si>
  <si>
    <t>Czech Republic</t>
  </si>
  <si>
    <t>OFF-ROG-10002818</t>
  </si>
  <si>
    <t>Rogers Trays, Industrial</t>
  </si>
  <si>
    <t>US-2014-129126</t>
  </si>
  <si>
    <t>Russell D'Ascenzo</t>
  </si>
  <si>
    <t>OFF-ST-10004330</t>
  </si>
  <si>
    <t>Smead Folders, Single Width</t>
  </si>
  <si>
    <t>IN-2014-83919</t>
  </si>
  <si>
    <t>Randy Bradley</t>
  </si>
  <si>
    <t>TEC-AC-10002389</t>
  </si>
  <si>
    <t>Enermax Mouse, USB</t>
  </si>
  <si>
    <t>OFF-CAR-10004886</t>
  </si>
  <si>
    <t>Cardinal Binder, Economy</t>
  </si>
  <si>
    <t>NI-2014-8530</t>
  </si>
  <si>
    <t>Ed Ludwig</t>
  </si>
  <si>
    <t>Oyo</t>
  </si>
  <si>
    <t>OFF-NOV-10004680</t>
  </si>
  <si>
    <t>Novimex Shipping Labels, Laser Printer Compatible</t>
  </si>
  <si>
    <t>CA-2014-151176</t>
  </si>
  <si>
    <t>Stewart Visinsky</t>
  </si>
  <si>
    <t>Maryland</t>
  </si>
  <si>
    <t>OFF-SU-10001165</t>
  </si>
  <si>
    <t>Acme Elite Stainless Steel Scissors</t>
  </si>
  <si>
    <t>IN-2014-37117</t>
  </si>
  <si>
    <t>Robert Waldorf</t>
  </si>
  <si>
    <t>TEC-AC-10001840</t>
  </si>
  <si>
    <t>SanDisk Mouse, Erganomic</t>
  </si>
  <si>
    <t>CA-2011-157721</t>
  </si>
  <si>
    <t>Justin MacKendrick</t>
  </si>
  <si>
    <t>FUR-FU-10002116</t>
  </si>
  <si>
    <t>Tenex Carpeted, Granite-Look or Clear Contemporary Contour Shape Chair Mats</t>
  </si>
  <si>
    <t>ID-2013-61736</t>
  </si>
  <si>
    <t>Sulawesi Utara</t>
  </si>
  <si>
    <t>TEC-AC-10003753</t>
  </si>
  <si>
    <t>SanDisk Router, Programmable</t>
  </si>
  <si>
    <t>CA-2014-145233</t>
  </si>
  <si>
    <t>Dianna Vittorini</t>
  </si>
  <si>
    <t>Colorado</t>
  </si>
  <si>
    <t>TEC-PH-10001254</t>
  </si>
  <si>
    <t>Jabra BIZ 2300 Duo QD Duo CordedÂ Headset</t>
  </si>
  <si>
    <t>IN-2013-28759</t>
  </si>
  <si>
    <t>Jonathan Doherty</t>
  </si>
  <si>
    <t>Chongqing</t>
  </si>
  <si>
    <t>OFF-PA-10003899</t>
  </si>
  <si>
    <t>SanDisk Memo Slips, Premium</t>
  </si>
  <si>
    <t>SF-2011-6380</t>
  </si>
  <si>
    <t>Pete Armstrong</t>
  </si>
  <si>
    <t>Gauteng</t>
  </si>
  <si>
    <t>South Africa</t>
  </si>
  <si>
    <t>OFF-SME-10000746</t>
  </si>
  <si>
    <t>Smead Lockers, Industrial</t>
  </si>
  <si>
    <t>ES-2013-1650308</t>
  </si>
  <si>
    <t>Nicole Brennan</t>
  </si>
  <si>
    <t>OFF-AP-10003221</t>
  </si>
  <si>
    <t>Cuisinart Refrigerator, Red</t>
  </si>
  <si>
    <t>AG-2014-6650</t>
  </si>
  <si>
    <t>Alyssa Crouse</t>
  </si>
  <si>
    <t>Djelfa</t>
  </si>
  <si>
    <t>Algeria</t>
  </si>
  <si>
    <t>OFF-STA-10003756</t>
  </si>
  <si>
    <t>Stanley Sketch Pad, Blue</t>
  </si>
  <si>
    <t>CA-2014-121559</t>
  </si>
  <si>
    <t>Helen Wasserman</t>
  </si>
  <si>
    <t>Indiana</t>
  </si>
  <si>
    <t>OFF-AP-10002945</t>
  </si>
  <si>
    <t>Honeywell Enviracaire Portable HEPA Air Cleaner for 17' x 22' Room</t>
  </si>
  <si>
    <t>SA-2011-7130</t>
  </si>
  <si>
    <t>Makkah</t>
  </si>
  <si>
    <t>Saudi Arabia</t>
  </si>
  <si>
    <t>FUR-RUB-10001717</t>
  </si>
  <si>
    <t>Rubbermaid Photo Frame, Durable</t>
  </si>
  <si>
    <t>IS-2014-420</t>
  </si>
  <si>
    <t>Phillip Breyer</t>
  </si>
  <si>
    <t>Tel Aviv</t>
  </si>
  <si>
    <t>Israel</t>
  </si>
  <si>
    <t>OFF-HOO-10002920</t>
  </si>
  <si>
    <t>Hoover Stove, Black</t>
  </si>
  <si>
    <t>US-2013-102379</t>
  </si>
  <si>
    <t>Maureen Fritzler</t>
  </si>
  <si>
    <t>La Romana</t>
  </si>
  <si>
    <t>FUR-FU-10001371</t>
  </si>
  <si>
    <t>Deflect-O Stacking Tray, Black</t>
  </si>
  <si>
    <t>IN-2011-43599</t>
  </si>
  <si>
    <t>John Grady</t>
  </si>
  <si>
    <t>Uttar Pradesh</t>
  </si>
  <si>
    <t>IN-2012-64494</t>
  </si>
  <si>
    <t>Matt Abelman</t>
  </si>
  <si>
    <t>Karnataka</t>
  </si>
  <si>
    <t>TEC-AC-10003570</t>
  </si>
  <si>
    <t>Memorex Flash Drive, Erganomic</t>
  </si>
  <si>
    <t>ES-2013-3894596</t>
  </si>
  <si>
    <t>Karen Bern</t>
  </si>
  <si>
    <t>FUR-FU-10000972</t>
  </si>
  <si>
    <t>Rubbermaid Clock, Erganomic</t>
  </si>
  <si>
    <t>ES-2012-2332844</t>
  </si>
  <si>
    <t>Brian Thompson</t>
  </si>
  <si>
    <t>OFF-BI-10004328</t>
  </si>
  <si>
    <t>Wilson Jones Binding Machine, Economy</t>
  </si>
  <si>
    <t>MX-2014-106432</t>
  </si>
  <si>
    <t>Jay Kimmel</t>
  </si>
  <si>
    <t>La Libertad</t>
  </si>
  <si>
    <t>El Salvador</t>
  </si>
  <si>
    <t>TEC-CO-10002998</t>
  </si>
  <si>
    <t>Sharp Ink, Laser</t>
  </si>
  <si>
    <t>ES-2012-2694947</t>
  </si>
  <si>
    <t>Jill Fjeld</t>
  </si>
  <si>
    <t>Bavaria</t>
  </si>
  <si>
    <t>TEC-AC-10003415</t>
  </si>
  <si>
    <t>SanDisk Router, Erganomic</t>
  </si>
  <si>
    <t>ES-2014-2057259</t>
  </si>
  <si>
    <t>Philip Brown</t>
  </si>
  <si>
    <t>Provence-Alpes-CÃ´te d'Azur</t>
  </si>
  <si>
    <t>OFF-PA-10002616</t>
  </si>
  <si>
    <t>Green Bar Parchment Paper, Multicolor</t>
  </si>
  <si>
    <t>NI-2011-7830</t>
  </si>
  <si>
    <t>Benjamin Patterson</t>
  </si>
  <si>
    <t>TEC-SHA-10000971</t>
  </si>
  <si>
    <t>Sharp Fax Machine, Color</t>
  </si>
  <si>
    <t>IN-2014-26470</t>
  </si>
  <si>
    <t>Keith Herrera</t>
  </si>
  <si>
    <t>Yunnan</t>
  </si>
  <si>
    <t>OFF-EN-10000968</t>
  </si>
  <si>
    <t>Kraft Mailers, Recycled</t>
  </si>
  <si>
    <t>ID-2014-24363</t>
  </si>
  <si>
    <t>Tracy Blumstein</t>
  </si>
  <si>
    <t>Yangon</t>
  </si>
  <si>
    <t>Myanmar (Burma)</t>
  </si>
  <si>
    <t>TEC-AC-10003989</t>
  </si>
  <si>
    <t>Enermax Numeric Keypad, Bluetooth</t>
  </si>
  <si>
    <t>CG-2011-6250</t>
  </si>
  <si>
    <t>Trudy Brown</t>
  </si>
  <si>
    <t>Kinshasa</t>
  </si>
  <si>
    <t>Democratic Republic of the Congo</t>
  </si>
  <si>
    <t>OFF-GRE-10002561</t>
  </si>
  <si>
    <t>Green Bar Message Books, Premium</t>
  </si>
  <si>
    <t>ID-2013-86243</t>
  </si>
  <si>
    <t>Daniel Raglin</t>
  </si>
  <si>
    <t>Auckland</t>
  </si>
  <si>
    <t>OFF-LA-10002486</t>
  </si>
  <si>
    <t>Novimex File Folder Labels, 5000 Label Set</t>
  </si>
  <si>
    <t>TZ-2014-9930</t>
  </si>
  <si>
    <t>Mbeya</t>
  </si>
  <si>
    <t>OFF-GLO-10002315</t>
  </si>
  <si>
    <t>GlobeWeis Interoffice Envelope, Set of 50</t>
  </si>
  <si>
    <t>ID-2013-72936</t>
  </si>
  <si>
    <t>Ed Braxton</t>
  </si>
  <si>
    <t>Jawa Tengah</t>
  </si>
  <si>
    <t>OFF-FA-10002388</t>
  </si>
  <si>
    <t>Accos Push Pins, Assorted Sizes</t>
  </si>
  <si>
    <t>EG-2014-1540</t>
  </si>
  <si>
    <t>Al Qahirah</t>
  </si>
  <si>
    <t>Egypt</t>
  </si>
  <si>
    <t>FUR-SAF-10000593</t>
  </si>
  <si>
    <t>SAFCO Chairmat, Adjustable</t>
  </si>
  <si>
    <t>SF-2014-3260</t>
  </si>
  <si>
    <t>Liz Thompson</t>
  </si>
  <si>
    <t>TEC-BRO-10002103</t>
  </si>
  <si>
    <t>Brother Ink, Color</t>
  </si>
  <si>
    <t>CA-2014-140949</t>
  </si>
  <si>
    <t>Denny Blanton</t>
  </si>
  <si>
    <t>OFF-LA-10000081</t>
  </si>
  <si>
    <t>Avery 496</t>
  </si>
  <si>
    <t>US-2011-104759</t>
  </si>
  <si>
    <t>Dorothy Dickinson</t>
  </si>
  <si>
    <t>TEC-AC-10004901</t>
  </si>
  <si>
    <t xml:space="preserve">Kensington SlimBlade Notebook Wireless Mouse with Nano Receiver </t>
  </si>
  <si>
    <t>IT-2012-5960351</t>
  </si>
  <si>
    <t>OFF-SU-10003632</t>
  </si>
  <si>
    <t>Acme Letter Opener, Easy Grip</t>
  </si>
  <si>
    <t>ID-2013-86299</t>
  </si>
  <si>
    <t>Frank Gastineau</t>
  </si>
  <si>
    <t>FUR-TA-10003006</t>
  </si>
  <si>
    <t>Hon Wood Table, Rectangular</t>
  </si>
  <si>
    <t>SF-2014-840</t>
  </si>
  <si>
    <t>Pierre Wener</t>
  </si>
  <si>
    <t>Kwazulu-natal</t>
  </si>
  <si>
    <t>OFF-AVE-10000608</t>
  </si>
  <si>
    <t>Avery Index Tab, Economy</t>
  </si>
  <si>
    <t>IN-2014-65194</t>
  </si>
  <si>
    <t>Art Ferguson</t>
  </si>
  <si>
    <t>TEC-AC-10003640</t>
  </si>
  <si>
    <t>SanDisk Mouse, Programmable</t>
  </si>
  <si>
    <t>IN-2013-65075</t>
  </si>
  <si>
    <t>Gary Zandusky</t>
  </si>
  <si>
    <t>Punjab</t>
  </si>
  <si>
    <t>OFF-ST-10000752</t>
  </si>
  <si>
    <t>Fellowes File Cart, Wire Frame</t>
  </si>
  <si>
    <t>MX-2011-131996</t>
  </si>
  <si>
    <t>HolguÃ­n</t>
  </si>
  <si>
    <t>OFF-AR-10002486</t>
  </si>
  <si>
    <t>Sanford Pencil Sharpener, Water Color</t>
  </si>
  <si>
    <t>IN-2014-19120</t>
  </si>
  <si>
    <t>Anthony Witt</t>
  </si>
  <si>
    <t>Rajasthan</t>
  </si>
  <si>
    <t>TEC-AC-10004334</t>
  </si>
  <si>
    <t>Logitech Router, Erganomic</t>
  </si>
  <si>
    <t>IN-2014-75855</t>
  </si>
  <si>
    <t>Shahid Collister</t>
  </si>
  <si>
    <t>Shanghai</t>
  </si>
  <si>
    <t>OFF-AR-10002340</t>
  </si>
  <si>
    <t>Stanley Markers, Water Color</t>
  </si>
  <si>
    <t>IN-2011-59510</t>
  </si>
  <si>
    <t>OFF-EN-10001975</t>
  </si>
  <si>
    <t>Kraft Business Envelopes, Security-Tint</t>
  </si>
  <si>
    <t>CA-2014-127782</t>
  </si>
  <si>
    <t>Thea Hudgings</t>
  </si>
  <si>
    <t>OFF-EN-10003845</t>
  </si>
  <si>
    <t>Colored Envelopes</t>
  </si>
  <si>
    <t>CA-2014-137414</t>
  </si>
  <si>
    <t>Chad McGuire</t>
  </si>
  <si>
    <t>FUR-FU-10001424</t>
  </si>
  <si>
    <t>Dax Clear Box Frame</t>
  </si>
  <si>
    <t>IN-2013-26519</t>
  </si>
  <si>
    <t>TEC-PH-10003348</t>
  </si>
  <si>
    <t>Cisco Speaker Phone, with Caller ID</t>
  </si>
  <si>
    <t>IN-2013-86061</t>
  </si>
  <si>
    <t>Ashley Jarboe</t>
  </si>
  <si>
    <t>OFF-BI-10002775</t>
  </si>
  <si>
    <t>Ibico Hole Reinforcements, Clear</t>
  </si>
  <si>
    <t>SF-2012-3840</t>
  </si>
  <si>
    <t>Richard Bierner</t>
  </si>
  <si>
    <t>Eastern Cape</t>
  </si>
  <si>
    <t>TEC-APP-10004912</t>
  </si>
  <si>
    <t>Apple Speaker Phone, with Caller ID</t>
  </si>
  <si>
    <t>ES-2012-3898439</t>
  </si>
  <si>
    <t>Andy Gerbode</t>
  </si>
  <si>
    <t>OFF-ST-10004296</t>
  </si>
  <si>
    <t>Smead Folders, Industrial</t>
  </si>
  <si>
    <t>ZI-2013-9260</t>
  </si>
  <si>
    <t>Tiffany House</t>
  </si>
  <si>
    <t>Harare</t>
  </si>
  <si>
    <t>Zimbabwe</t>
  </si>
  <si>
    <t>OFF-ACC-10004748</t>
  </si>
  <si>
    <t>Accos Push Pins, 12 Pack</t>
  </si>
  <si>
    <t>IT-2014-1075109</t>
  </si>
  <si>
    <t>Cathy Armstrong</t>
  </si>
  <si>
    <t>Catalonia</t>
  </si>
  <si>
    <t>OFF-ST-10002800</t>
  </si>
  <si>
    <t>Tenex Folders, Industrial</t>
  </si>
  <si>
    <t>EG-2014-460</t>
  </si>
  <si>
    <t>Anna Chung</t>
  </si>
  <si>
    <t>TEC-SAN-10004721</t>
  </si>
  <si>
    <t>SanDisk Numeric Keypad, Bluetooth</t>
  </si>
  <si>
    <t>NI-2014-7110</t>
  </si>
  <si>
    <t>OFF-HAR-10000187</t>
  </si>
  <si>
    <t>Harbour Creations Color Coded Labels, Alphabetical</t>
  </si>
  <si>
    <t>EG-2012-4640</t>
  </si>
  <si>
    <t>Jim Radford</t>
  </si>
  <si>
    <t>OFF-ACC-10002849</t>
  </si>
  <si>
    <t>Acco 3-Hole Punch, Clear</t>
  </si>
  <si>
    <t>ES-2014-5842530</t>
  </si>
  <si>
    <t>Yoseph Carroll</t>
  </si>
  <si>
    <t>FUR-BO-10000490</t>
  </si>
  <si>
    <t>ES-2014-4794612</t>
  </si>
  <si>
    <t>Bill Tyler</t>
  </si>
  <si>
    <t>OFF-AR-10000711</t>
  </si>
  <si>
    <t>BIC Pens, Easy-Erase</t>
  </si>
  <si>
    <t>MX-2013-109771</t>
  </si>
  <si>
    <t>Logan Currie</t>
  </si>
  <si>
    <t>OFF-BI-10003975</t>
  </si>
  <si>
    <t>Cardinal Index Tab, Durable</t>
  </si>
  <si>
    <t>CA-2013-127138</t>
  </si>
  <si>
    <t>Dean Katz</t>
  </si>
  <si>
    <t>OFF-AP-10003842</t>
  </si>
  <si>
    <t>Euro-Pro Shark Turbo Vacuum</t>
  </si>
  <si>
    <t>ES-2011-5610862</t>
  </si>
  <si>
    <t>OFF-SU-10004230</t>
  </si>
  <si>
    <t>Kleencut Scissors, Serrated</t>
  </si>
  <si>
    <t>IS-2011-7290</t>
  </si>
  <si>
    <t>Raymond Messe</t>
  </si>
  <si>
    <t>Haifa</t>
  </si>
  <si>
    <t>FUR-NOV-10000123</t>
  </si>
  <si>
    <t>Novimex Rocking Chair, Red</t>
  </si>
  <si>
    <t>US-2013-125675</t>
  </si>
  <si>
    <t>Mary O'Rourke</t>
  </si>
  <si>
    <t>OFF-BI-10002510</t>
  </si>
  <si>
    <t>Acco Index Tab, Clear</t>
  </si>
  <si>
    <t>ES-2014-5474746</t>
  </si>
  <si>
    <t>Rob Dowd</t>
  </si>
  <si>
    <t>Valenciana</t>
  </si>
  <si>
    <t>OFF-BI-10002674</t>
  </si>
  <si>
    <t>Cardinal Binder Covers, Recycled</t>
  </si>
  <si>
    <t>SO-2012-2390</t>
  </si>
  <si>
    <t>Steven Roelle</t>
  </si>
  <si>
    <t>Banaadir</t>
  </si>
  <si>
    <t>Somalia</t>
  </si>
  <si>
    <t>TEC-SAM-10004384</t>
  </si>
  <si>
    <t>Samsung Office Telephone, VoIP</t>
  </si>
  <si>
    <t>UP-2012-110</t>
  </si>
  <si>
    <t>Aimee Bixby</t>
  </si>
  <si>
    <t>Kharkiv</t>
  </si>
  <si>
    <t>Ukraine</t>
  </si>
  <si>
    <t>TEC-STA-10004542</t>
  </si>
  <si>
    <t>StarTech Calculator, Durable</t>
  </si>
  <si>
    <t>ES-2011-1406120</t>
  </si>
  <si>
    <t>Lisa Ryan</t>
  </si>
  <si>
    <t>Hamburg</t>
  </si>
  <si>
    <t>TEC-PH-10000160</t>
  </si>
  <si>
    <t>Motorola Smart Phone, with Caller ID</t>
  </si>
  <si>
    <t>MX-2014-136539</t>
  </si>
  <si>
    <t>Fred Hopkins</t>
  </si>
  <si>
    <t>San Salvador</t>
  </si>
  <si>
    <t>OFF-SU-10002323</t>
  </si>
  <si>
    <t>Elite Shears, Steel</t>
  </si>
  <si>
    <t>CA-2014-161172</t>
  </si>
  <si>
    <t>Susan Pistek</t>
  </si>
  <si>
    <t>Ohio</t>
  </si>
  <si>
    <t>TEC-AC-10004571</t>
  </si>
  <si>
    <t>Logitech G700s Rechargeable Gaming Mouse</t>
  </si>
  <si>
    <t>MX-2013-146318</t>
  </si>
  <si>
    <t>Cundinamarca</t>
  </si>
  <si>
    <t>OFF-BI-10003653</t>
  </si>
  <si>
    <t>Avery 3-Hole Punch, Durable</t>
  </si>
  <si>
    <t>CA-2013-1880</t>
  </si>
  <si>
    <t>Sandra Glassco</t>
  </si>
  <si>
    <t>Quebec</t>
  </si>
  <si>
    <t>OFF-FEL-10004224</t>
  </si>
  <si>
    <t>Fellowes Trays, Wire Frame</t>
  </si>
  <si>
    <t>ES-2011-5083176</t>
  </si>
  <si>
    <t>Aaron Smayling</t>
  </si>
  <si>
    <t>Basel-Stadt</t>
  </si>
  <si>
    <t>Switzerland</t>
  </si>
  <si>
    <t>OFF-AR-10003031</t>
  </si>
  <si>
    <t>Binney &amp; Smith Pens, Fluorescent</t>
  </si>
  <si>
    <t>MX-2012-147823</t>
  </si>
  <si>
    <t>TEC-CO-10001589</t>
  </si>
  <si>
    <t>Hewlett Wireless Fax, Digital</t>
  </si>
  <si>
    <t>US-2014-123281</t>
  </si>
  <si>
    <t>Jamie Frazer</t>
  </si>
  <si>
    <t>FUR-FU-10003724</t>
  </si>
  <si>
    <t>Westinghouse Clip-On Gooseneck Lamps</t>
  </si>
  <si>
    <t>US-2014-123484</t>
  </si>
  <si>
    <t>Kean Takahito</t>
  </si>
  <si>
    <t>Ouest</t>
  </si>
  <si>
    <t>Haiti</t>
  </si>
  <si>
    <t>OFF-BI-10003883</t>
  </si>
  <si>
    <t>Acco Binder, Economy</t>
  </si>
  <si>
    <t>US-2011-120236</t>
  </si>
  <si>
    <t>Mathew Reese</t>
  </si>
  <si>
    <t>OFF-BI-10004099</t>
  </si>
  <si>
    <t>GBC VeloBinder Strips</t>
  </si>
  <si>
    <t>ID-2013-24643</t>
  </si>
  <si>
    <t>Patrick Ryan</t>
  </si>
  <si>
    <t>OFF-AP-10002239</t>
  </si>
  <si>
    <t>Hoover Toaster, White</t>
  </si>
  <si>
    <t>CA-2014-101308</t>
  </si>
  <si>
    <t>Washington</t>
  </si>
  <si>
    <t>TEC-PH-10003800</t>
  </si>
  <si>
    <t>i.Sound Portable Power - 8000 mAh</t>
  </si>
  <si>
    <t>IN-2013-51712</t>
  </si>
  <si>
    <t>Corey Catlett</t>
  </si>
  <si>
    <t>OFF-EN-10003231</t>
  </si>
  <si>
    <t>Jiffy Business Envelopes, Set of 50</t>
  </si>
  <si>
    <t>IN-2011-49129</t>
  </si>
  <si>
    <t>Mike Vittorini</t>
  </si>
  <si>
    <t>Andhra Pradesh</t>
  </si>
  <si>
    <t>OFF-EN-10004550</t>
  </si>
  <si>
    <t>GlobeWeis Interoffice Envelope, Recycled</t>
  </si>
  <si>
    <t>IR-2011-6250</t>
  </si>
  <si>
    <t>Eric Hoffmann</t>
  </si>
  <si>
    <t>Qom</t>
  </si>
  <si>
    <t>CA-2011-149958</t>
  </si>
  <si>
    <t>Florida</t>
  </si>
  <si>
    <t>OFF-BI-10001543</t>
  </si>
  <si>
    <t>GBC VeloBinder Manual Binding System</t>
  </si>
  <si>
    <t>RO-2011-6490</t>
  </si>
  <si>
    <t>Sandra Flanagan</t>
  </si>
  <si>
    <t>Iasi</t>
  </si>
  <si>
    <t>Romania</t>
  </si>
  <si>
    <t>TEC-KON-10002034</t>
  </si>
  <si>
    <t>Konica Receipt Printer, Wireless</t>
  </si>
  <si>
    <t>ID-2013-55961</t>
  </si>
  <si>
    <t>OFF-SU-10001066</t>
  </si>
  <si>
    <t>Acme Letter Opener, Steel</t>
  </si>
  <si>
    <t>ES-2012-3239309</t>
  </si>
  <si>
    <t>John Murray</t>
  </si>
  <si>
    <t>TEC-MA-10001569</t>
  </si>
  <si>
    <t>Okidata Phone, Red</t>
  </si>
  <si>
    <t>IR-2013-8790</t>
  </si>
  <si>
    <t>Brian Stugart</t>
  </si>
  <si>
    <t>Yazd</t>
  </si>
  <si>
    <t>OFF-CAR-10003030</t>
  </si>
  <si>
    <t>Cardinal Index Tab, Economy</t>
  </si>
  <si>
    <t>CA-2011-128237</t>
  </si>
  <si>
    <t>Christina Anderson</t>
  </si>
  <si>
    <t>TEC-AC-10002558</t>
  </si>
  <si>
    <t>ImationÂ SwivelÂ Flash DriveÂ USBÂ flash driveÂ - 8 GB</t>
  </si>
  <si>
    <t>ES-2012-4007496</t>
  </si>
  <si>
    <t>Rick Bensley</t>
  </si>
  <si>
    <t>OFF-FA-10003730</t>
  </si>
  <si>
    <t>Stockwell Thumb Tacks, Bulk Pack</t>
  </si>
  <si>
    <t>MO-2013-2020</t>
  </si>
  <si>
    <t>Eileen Kiefer</t>
  </si>
  <si>
    <t>Grand Casablanca</t>
  </si>
  <si>
    <t>OFF-BIC-10004557</t>
  </si>
  <si>
    <t>BIC Canvas, Blue</t>
  </si>
  <si>
    <t>ES-2011-2132896</t>
  </si>
  <si>
    <t>Muhammed MacIntyre</t>
  </si>
  <si>
    <t>Bremen</t>
  </si>
  <si>
    <t>TEC-MA-10003856</t>
  </si>
  <si>
    <t>Okidata Calculator, Red</t>
  </si>
  <si>
    <t>MX-2014-135055</t>
  </si>
  <si>
    <t>Craig Carreira</t>
  </si>
  <si>
    <t>Tamaulipas</t>
  </si>
  <si>
    <t>Mexico</t>
  </si>
  <si>
    <t>OFF-BI-10000325</t>
  </si>
  <si>
    <t>Wilson Jones Binder Covers, Recycled</t>
  </si>
  <si>
    <t>RO-2012-9720</t>
  </si>
  <si>
    <t>Nora Paige</t>
  </si>
  <si>
    <t>Arges</t>
  </si>
  <si>
    <t>OFF-BOS-10004950</t>
  </si>
  <si>
    <t>Boston Pens, Fluorescent</t>
  </si>
  <si>
    <t>ES-2013-5616549</t>
  </si>
  <si>
    <t>Shui Tom</t>
  </si>
  <si>
    <t>OFF-PA-10000961</t>
  </si>
  <si>
    <t>Green Bar Parchment Paper, Premium</t>
  </si>
  <si>
    <t>CA-2012-110632</t>
  </si>
  <si>
    <t>Harold Ryan</t>
  </si>
  <si>
    <t>OFF-ST-10001291</t>
  </si>
  <si>
    <t>Tenex Personal Self-Stacking Standard File Box, Black/Gray</t>
  </si>
  <si>
    <t>MX-2013-117506</t>
  </si>
  <si>
    <t>EspÃ­rito Santo</t>
  </si>
  <si>
    <t>OFF-ST-10002538</t>
  </si>
  <si>
    <t>Rogers File Cart, Single Width</t>
  </si>
  <si>
    <t>IZ-2014-7340</t>
  </si>
  <si>
    <t>Baghdad</t>
  </si>
  <si>
    <t>FUR-ELD-10003179</t>
  </si>
  <si>
    <t>Eldon Clock, Erganomic</t>
  </si>
  <si>
    <t>IR-2011-7690</t>
  </si>
  <si>
    <t>Nat Gilpin</t>
  </si>
  <si>
    <t>Razavi Khorasan</t>
  </si>
  <si>
    <t>OFF-BIC-10000582</t>
  </si>
  <si>
    <t>IN-2014-44110</t>
  </si>
  <si>
    <t>Ho ChÃ­ Minh City</t>
  </si>
  <si>
    <t>Vietnam</t>
  </si>
  <si>
    <t>OFF-AR-10000720</t>
  </si>
  <si>
    <t>Binney &amp; Smith Markers, Fluorescent</t>
  </si>
  <si>
    <t>YM-2012-9880</t>
  </si>
  <si>
    <t>Chloris Kastensmidt</t>
  </si>
  <si>
    <t>Ta'izz</t>
  </si>
  <si>
    <t>Yemen</t>
  </si>
  <si>
    <t>TEC-SHA-10003670</t>
  </si>
  <si>
    <t>Sharp Wireless Fax, Laser</t>
  </si>
  <si>
    <t>CA-2013-102813</t>
  </si>
  <si>
    <t>FUR-CH-10000665</t>
  </si>
  <si>
    <t>Global Airflow Leather Mesh Back Chair, Black</t>
  </si>
  <si>
    <t>RS-2014-5110</t>
  </si>
  <si>
    <t>Sean Braxton</t>
  </si>
  <si>
    <t>Arkhangel'sk</t>
  </si>
  <si>
    <t>OFF-ACC-10004538</t>
  </si>
  <si>
    <t>Acco Binder Covers, Recycled</t>
  </si>
  <si>
    <t>IS-2012-3230</t>
  </si>
  <si>
    <t>Cyma Kinney</t>
  </si>
  <si>
    <t>OFF-CAR-10004229</t>
  </si>
  <si>
    <t>Cardinal Index Tab, Clear</t>
  </si>
  <si>
    <t>RO-2014-2550</t>
  </si>
  <si>
    <t>Brosina Hoffman</t>
  </si>
  <si>
    <t>Valcea</t>
  </si>
  <si>
    <t>TEC-PAN-10004360</t>
  </si>
  <si>
    <t>Panasonic Calculator, White</t>
  </si>
  <si>
    <t>CA-2013-128258</t>
  </si>
  <si>
    <t>Cathy Prescott</t>
  </si>
  <si>
    <t>Connecticut</t>
  </si>
  <si>
    <t>OFF-PA-10004156</t>
  </si>
  <si>
    <t>Xerox 188</t>
  </si>
  <si>
    <t>MX-2014-143462</t>
  </si>
  <si>
    <t>Thea Hendricks</t>
  </si>
  <si>
    <t>Chihuahua</t>
  </si>
  <si>
    <t>FUR-CH-10001819</t>
  </si>
  <si>
    <t>IN-2014-21171</t>
  </si>
  <si>
    <t>Bill Donatelli</t>
  </si>
  <si>
    <t>Henan</t>
  </si>
  <si>
    <t>FUR-BO-10002000</t>
  </si>
  <si>
    <t>Ikea Classic Bookcase, Metal</t>
  </si>
  <si>
    <t>US-2013-152842</t>
  </si>
  <si>
    <t>Cynthia Delaney</t>
  </si>
  <si>
    <t>Entre RÃ­os</t>
  </si>
  <si>
    <t>OFF-FA-10002085</t>
  </si>
  <si>
    <t>Stockwell Clamps, Assorted Sizes</t>
  </si>
  <si>
    <t>MX-2012-113614</t>
  </si>
  <si>
    <t>Matt Collins</t>
  </si>
  <si>
    <t>Las Tunas</t>
  </si>
  <si>
    <t>TEC-CO-10000262</t>
  </si>
  <si>
    <t>Brother Ink, Laser</t>
  </si>
  <si>
    <t>MO-2012-6660</t>
  </si>
  <si>
    <t>Anthony Rawles</t>
  </si>
  <si>
    <t>FÃ¨s-Boulemane</t>
  </si>
  <si>
    <t>OFF-CUI-10000682</t>
  </si>
  <si>
    <t>Cuisinart Stove, Silver</t>
  </si>
  <si>
    <t>RW-2014-680</t>
  </si>
  <si>
    <t>Kigali</t>
  </si>
  <si>
    <t>Rwanda</t>
  </si>
  <si>
    <t>OFF-ACC-10003713</t>
  </si>
  <si>
    <t>Accos Clamps, Assorted Sizes</t>
  </si>
  <si>
    <t>RS-2014-4120</t>
  </si>
  <si>
    <t>Yaroslavl'</t>
  </si>
  <si>
    <t>TEC-MOT-10003348</t>
  </si>
  <si>
    <t>Motorola Smart Phone, Full Size</t>
  </si>
  <si>
    <t>CA-2012-132101</t>
  </si>
  <si>
    <t>Jesus Ocampo</t>
  </si>
  <si>
    <t>TEC-PH-10004539</t>
  </si>
  <si>
    <t>Wireless Extenders zBoost YX545 SOHO Signal Booster</t>
  </si>
  <si>
    <t>US-2011-148838</t>
  </si>
  <si>
    <t>FUR-TA-10003473</t>
  </si>
  <si>
    <t>Bretford Rectangular Conference Table Tops</t>
  </si>
  <si>
    <t>TZ-2011-4790</t>
  </si>
  <si>
    <t>Toby Ritter</t>
  </si>
  <si>
    <t>FUR-ELD-10003828</t>
  </si>
  <si>
    <t>Eldon Light Bulb, Erganomic</t>
  </si>
  <si>
    <t>OFF-IBI-10000440</t>
  </si>
  <si>
    <t>Ibico Binder Covers, Clear</t>
  </si>
  <si>
    <t>MX-2013-143455</t>
  </si>
  <si>
    <t>Anna Gayman</t>
  </si>
  <si>
    <t>ParÃ¡</t>
  </si>
  <si>
    <t>OFF-EN-10001832</t>
  </si>
  <si>
    <t>Ames Mailers, with clear poly window</t>
  </si>
  <si>
    <t>ES-2014-5640080</t>
  </si>
  <si>
    <t>Mark Hamilton</t>
  </si>
  <si>
    <t>Rhineland-Palatinate</t>
  </si>
  <si>
    <t>OFF-SU-10001703</t>
  </si>
  <si>
    <t>Fiskars Box Cutter, High Speed</t>
  </si>
  <si>
    <t>CA-2014-111738</t>
  </si>
  <si>
    <t>Christopher Martinez</t>
  </si>
  <si>
    <t>OFF-BI-10004584</t>
  </si>
  <si>
    <t>GBC ProClick 150 Presentation Binding System</t>
  </si>
  <si>
    <t>US-2013-113866</t>
  </si>
  <si>
    <t>Theone Pippenger</t>
  </si>
  <si>
    <t>Distrito Federal</t>
  </si>
  <si>
    <t>OFF-EN-10003529</t>
  </si>
  <si>
    <t>Ames Peel and Seal, Recycled</t>
  </si>
  <si>
    <t>RS-2011-2560</t>
  </si>
  <si>
    <t>TEC-PAN-10000979</t>
  </si>
  <si>
    <t>Panasonic Receipt Printer, Wireless</t>
  </si>
  <si>
    <t>IN-2014-86558</t>
  </si>
  <si>
    <t>OFF-AR-10004918</t>
  </si>
  <si>
    <t>US-2013-115819</t>
  </si>
  <si>
    <t>Jas O'Carroll</t>
  </si>
  <si>
    <t>OFF-BI-10000050</t>
  </si>
  <si>
    <t>Angle-D Binders with Locking Rings, Label Holders</t>
  </si>
  <si>
    <t>SU-2013-8780</t>
  </si>
  <si>
    <t>Ellis Ballard</t>
  </si>
  <si>
    <t>Red Sea</t>
  </si>
  <si>
    <t>OFF-HAR-10000501</t>
  </si>
  <si>
    <t>Harbour Creations File Folder Labels, Laser Printer Compatible</t>
  </si>
  <si>
    <t>IR-2012-1390</t>
  </si>
  <si>
    <t>Gilan</t>
  </si>
  <si>
    <t>FUR-LES-10004886</t>
  </si>
  <si>
    <t>Lesro Conference Table, Fully Assembled</t>
  </si>
  <si>
    <t>TU-2011-3910</t>
  </si>
  <si>
    <t>Lindsay Castell</t>
  </si>
  <si>
    <t>TEC-SAN-10001506</t>
  </si>
  <si>
    <t>TU-2013-2580</t>
  </si>
  <si>
    <t>Adana</t>
  </si>
  <si>
    <t>OFF-CAR-10002942</t>
  </si>
  <si>
    <t>Cardinal 3-Hole Punch, Recycled</t>
  </si>
  <si>
    <t>CG-2014-5060</t>
  </si>
  <si>
    <t>Bandundu</t>
  </si>
  <si>
    <t>OFF-WIL-10000390</t>
  </si>
  <si>
    <t>Wilson Jones Binder, Durable</t>
  </si>
  <si>
    <t>ES-2014-5334183</t>
  </si>
  <si>
    <t>Alex Avila</t>
  </si>
  <si>
    <t>OFF-ST-10001576</t>
  </si>
  <si>
    <t>Tenex Folders, Blue</t>
  </si>
  <si>
    <t>US-2012-163433</t>
  </si>
  <si>
    <t>TEC-PH-10003357</t>
  </si>
  <si>
    <t>Grandstream GXP2100 Mainstream Business Phone</t>
  </si>
  <si>
    <t>MX-2011-165106</t>
  </si>
  <si>
    <t>John Lee</t>
  </si>
  <si>
    <t>OFF-AP-10004627</t>
  </si>
  <si>
    <t>Hamilton Beach Stove, Silver</t>
  </si>
  <si>
    <t>CA-2012-137974</t>
  </si>
  <si>
    <t>Lauren Leatherbury</t>
  </si>
  <si>
    <t>TEC-PH-10002033</t>
  </si>
  <si>
    <t>Konftel 250 ConferenceÂ phoneÂ - Charcoal black</t>
  </si>
  <si>
    <t>CA-2012-112557</t>
  </si>
  <si>
    <t>John Lucas</t>
  </si>
  <si>
    <t>OFF-AP-10002311</t>
  </si>
  <si>
    <t>Holmes Replacement Filter for HEPA Air Cleaner, Very Large Room, HEPA Filter</t>
  </si>
  <si>
    <t>CA-2013-163594</t>
  </si>
  <si>
    <t>OFF-PA-10000809</t>
  </si>
  <si>
    <t>Xerox 206</t>
  </si>
  <si>
    <t>MX-2014-127537</t>
  </si>
  <si>
    <t>TEC-PH-10002892</t>
  </si>
  <si>
    <t>Nokia Speaker Phone, Cordless</t>
  </si>
  <si>
    <t>ES-2014-2968300</t>
  </si>
  <si>
    <t>Georgia Rosenberg</t>
  </si>
  <si>
    <t>FUR-FU-10004049</t>
  </si>
  <si>
    <t>IN-2011-57704</t>
  </si>
  <si>
    <t>Bryan Mills</t>
  </si>
  <si>
    <t>Maharashtra</t>
  </si>
  <si>
    <t>FUR-FU-10002292</t>
  </si>
  <si>
    <t>Deflect-O Door Stop, Duo Pack</t>
  </si>
  <si>
    <t>IN-2013-38475</t>
  </si>
  <si>
    <t>Evan Henry</t>
  </si>
  <si>
    <t>Sumatera Utara</t>
  </si>
  <si>
    <t>FUR-BO-10002204</t>
  </si>
  <si>
    <t>Dania Floating Shelf Set, Traditional</t>
  </si>
  <si>
    <t>IS-2011-1180</t>
  </si>
  <si>
    <t>Jerusalem</t>
  </si>
  <si>
    <t>OFF-ACC-10003745</t>
  </si>
  <si>
    <t>Accos Paper Clips, Assorted Sizes</t>
  </si>
  <si>
    <t>US-2013-151225</t>
  </si>
  <si>
    <t>Grace Kelly</t>
  </si>
  <si>
    <t>OFF-ST-10003056</t>
  </si>
  <si>
    <t>Tenex Folders, Single Width</t>
  </si>
  <si>
    <t>US-2012-112004</t>
  </si>
  <si>
    <t>Sinaloa</t>
  </si>
  <si>
    <t>FUR-FU-10000975</t>
  </si>
  <si>
    <t>Eldon Clock, Black</t>
  </si>
  <si>
    <t>ES-2013-5506373</t>
  </si>
  <si>
    <t>Piedmont</t>
  </si>
  <si>
    <t>OFF-AP-10004201</t>
  </si>
  <si>
    <t>Breville Refrigerator, White</t>
  </si>
  <si>
    <t>CA-2012-100216</t>
  </si>
  <si>
    <t>Heather Jas</t>
  </si>
  <si>
    <t>OFF-PA-10000788</t>
  </si>
  <si>
    <t>Xerox 210</t>
  </si>
  <si>
    <t>LT-2011-270</t>
  </si>
  <si>
    <t>Cynthia Voltz</t>
  </si>
  <si>
    <t>Maseru</t>
  </si>
  <si>
    <t>Lesotho</t>
  </si>
  <si>
    <t>OFF-ELD-10002199</t>
  </si>
  <si>
    <t>Eldon File Cart, Single Width</t>
  </si>
  <si>
    <t>ES-2013-1245292</t>
  </si>
  <si>
    <t>Monica Federle</t>
  </si>
  <si>
    <t>OFF-BI-10001192</t>
  </si>
  <si>
    <t>Cardinal Binder, Clear</t>
  </si>
  <si>
    <t>CA-2014-123071</t>
  </si>
  <si>
    <t>OFF-PA-10003729</t>
  </si>
  <si>
    <t>Xerox 1998</t>
  </si>
  <si>
    <t>IT-2014-2866257</t>
  </si>
  <si>
    <t>Katherine Nockton</t>
  </si>
  <si>
    <t>OFF-SU-10004691</t>
  </si>
  <si>
    <t>Fiskars Scissors, Serrated</t>
  </si>
  <si>
    <t>MX-2013-133256</t>
  </si>
  <si>
    <t>Rick Duston</t>
  </si>
  <si>
    <t>Santa Ana</t>
  </si>
  <si>
    <t>FUR-BO-10003438</t>
  </si>
  <si>
    <t>Dania Corner Shelving, Pine</t>
  </si>
  <si>
    <t>US-2014-132731</t>
  </si>
  <si>
    <t>MaryBeth Skach</t>
  </si>
  <si>
    <t>OFF-LA-10001019</t>
  </si>
  <si>
    <t>Hon Legal Exhibit Labels, Laser Printer Compatible</t>
  </si>
  <si>
    <t>ES-2012-1517831</t>
  </si>
  <si>
    <t>OFF-EN-10002008</t>
  </si>
  <si>
    <t>Cameo Mailers, Recycled</t>
  </si>
  <si>
    <t>US-2014-110611</t>
  </si>
  <si>
    <t>Alyssa Tate</t>
  </si>
  <si>
    <t>AnzoÃ¡tegui</t>
  </si>
  <si>
    <t>FUR-FU-10004903</t>
  </si>
  <si>
    <t>Eldon Light Bulb, Black</t>
  </si>
  <si>
    <t>CA-2014-121503</t>
  </si>
  <si>
    <t>Frank Hawley</t>
  </si>
  <si>
    <t>TEC-MA-10003674</t>
  </si>
  <si>
    <t>Hewlett-Packard Deskjet 5550 Printer</t>
  </si>
  <si>
    <t>ES-2011-5178055</t>
  </si>
  <si>
    <t>Dan Reichenbach</t>
  </si>
  <si>
    <t>CA-2011-100678</t>
  </si>
  <si>
    <t>ID-2012-25315</t>
  </si>
  <si>
    <t>Anna Andreadi</t>
  </si>
  <si>
    <t>OFF-ST-10001026</t>
  </si>
  <si>
    <t>Fellowes Trays, Single Width</t>
  </si>
  <si>
    <t>ES-2014-5467236</t>
  </si>
  <si>
    <t>Maribeth Dona</t>
  </si>
  <si>
    <t>OFF-SU-10001813</t>
  </si>
  <si>
    <t>Kleencut Ruler, Easy Grip</t>
  </si>
  <si>
    <t>MX-2013-164938</t>
  </si>
  <si>
    <t>Resi PÃ¶lking</t>
  </si>
  <si>
    <t>Alagoas</t>
  </si>
  <si>
    <t>OFF-PA-10002418</t>
  </si>
  <si>
    <t>Green Bar Message Books, Multicolor</t>
  </si>
  <si>
    <t>NI-2014-9770</t>
  </si>
  <si>
    <t>Brooke Gillingham</t>
  </si>
  <si>
    <t>Kaduna</t>
  </si>
  <si>
    <t>OFF-ACC-10000233</t>
  </si>
  <si>
    <t>ID-2012-82393</t>
  </si>
  <si>
    <t>Craig Leslie</t>
  </si>
  <si>
    <t>FUR-CH-10004199</t>
  </si>
  <si>
    <t>SAFCO Executive Leather Armchair, Adjustable</t>
  </si>
  <si>
    <t>MX-2013-128027</t>
  </si>
  <si>
    <t>Candace McMahon</t>
  </si>
  <si>
    <t>OFF-FA-10003885</t>
  </si>
  <si>
    <t>Stockwell Rubber Bands, Metal</t>
  </si>
  <si>
    <t>ES-2013-2734435</t>
  </si>
  <si>
    <t>Paul Van Hugh</t>
  </si>
  <si>
    <t>FUR-BO-10001831</t>
  </si>
  <si>
    <t>Sauder Floating Shelf Set, Metal</t>
  </si>
  <si>
    <t>NI-2011-8350</t>
  </si>
  <si>
    <t>Ann Steele</t>
  </si>
  <si>
    <t>OFF-SAN-10001128</t>
  </si>
  <si>
    <t>Sanford Pens, Easy-Erase</t>
  </si>
  <si>
    <t>IT-2013-5472233</t>
  </si>
  <si>
    <t>North Brabant</t>
  </si>
  <si>
    <t>OFF-BI-10000341</t>
  </si>
  <si>
    <t>Ibico Binding Machine, Recycled</t>
  </si>
  <si>
    <t>MX-2013-169320</t>
  </si>
  <si>
    <t>FUR-BO-10004425</t>
  </si>
  <si>
    <t>Sauder Library with Doors, Mobile</t>
  </si>
  <si>
    <t>ES-2012-1986848</t>
  </si>
  <si>
    <t>Sarah Brown</t>
  </si>
  <si>
    <t>Franche-ComtÃ©</t>
  </si>
  <si>
    <t>TEC-MA-10000161</t>
  </si>
  <si>
    <t>Konica Receipt Printer, Durable</t>
  </si>
  <si>
    <t>TU-2011-6490</t>
  </si>
  <si>
    <t>TEC-PAN-10000131</t>
  </si>
  <si>
    <t>Panasonic Receipt Printer, Red</t>
  </si>
  <si>
    <t>IN-2011-76842</t>
  </si>
  <si>
    <t>TEC-CO-10002587</t>
  </si>
  <si>
    <t>Sharp Fax and Copier, Laser</t>
  </si>
  <si>
    <t>MO-2011-6140</t>
  </si>
  <si>
    <t>MeknÃ¨s-Tafilalet</t>
  </si>
  <si>
    <t>OFF-EAT-10004307</t>
  </si>
  <si>
    <t>Eaton Memo Slips, 8.5 x 11</t>
  </si>
  <si>
    <t>MX-2014-147725</t>
  </si>
  <si>
    <t>Kelly Williams</t>
  </si>
  <si>
    <t>Nuevo LeÃ³n</t>
  </si>
  <si>
    <t>OFF-BI-10000821</t>
  </si>
  <si>
    <t>Acco Hole Reinforcements, Durable</t>
  </si>
  <si>
    <t>IN-2014-44334</t>
  </si>
  <si>
    <t>OFF-LA-10003617</t>
  </si>
  <si>
    <t>Smead Legal Exhibit Labels, Adjustable</t>
  </si>
  <si>
    <t>PL-2012-5180</t>
  </si>
  <si>
    <t>Theresa Swint</t>
  </si>
  <si>
    <t>Masovia</t>
  </si>
  <si>
    <t>OFF-CAM-10003933</t>
  </si>
  <si>
    <t>Cameo Business Envelopes, Recycled</t>
  </si>
  <si>
    <t>ES-2011-3072555</t>
  </si>
  <si>
    <t>Upper Normandy</t>
  </si>
  <si>
    <t>OFF-FA-10001051</t>
  </si>
  <si>
    <t>OIC Rubber Bands, Metal</t>
  </si>
  <si>
    <t>PL-2013-7230</t>
  </si>
  <si>
    <t>Todd Sumrall</t>
  </si>
  <si>
    <t>Pomerania</t>
  </si>
  <si>
    <t>OFF-CAM-10003605</t>
  </si>
  <si>
    <t>Cameo Peel and Seal, Security-Tint</t>
  </si>
  <si>
    <t>ES-2011-5158527</t>
  </si>
  <si>
    <t>OFF-LA-10003210</t>
  </si>
  <si>
    <t>TU-2014-810</t>
  </si>
  <si>
    <t>Andy Yotov</t>
  </si>
  <si>
    <t>Trabzon</t>
  </si>
  <si>
    <t>OFF-AVE-10004148</t>
  </si>
  <si>
    <t>Avery Color Coded Labels, Laser Printer Compatible</t>
  </si>
  <si>
    <t>IN-2013-22438</t>
  </si>
  <si>
    <t>Tony Chapman</t>
  </si>
  <si>
    <t>TEC-PH-10003784</t>
  </si>
  <si>
    <t>Motorola Signal Booster, with Caller ID</t>
  </si>
  <si>
    <t>CA-2014-8860</t>
  </si>
  <si>
    <t>Tamara Dahlen</t>
  </si>
  <si>
    <t>OFF-SME-10000018</t>
  </si>
  <si>
    <t>Smead Round Labels, Laser Printer Compatible</t>
  </si>
  <si>
    <t>IN-2012-40225</t>
  </si>
  <si>
    <t>TEC-CO-10002697</t>
  </si>
  <si>
    <t>Brother Wireless Fax, High-Speed</t>
  </si>
  <si>
    <t>IN-2011-50613</t>
  </si>
  <si>
    <t>Jason Klamczynski</t>
  </si>
  <si>
    <t>TEC-CO-10000560</t>
  </si>
  <si>
    <t>Hewlett Ink, High-Speed</t>
  </si>
  <si>
    <t>IN-2011-74490</t>
  </si>
  <si>
    <t>TEC-AC-10002221</t>
  </si>
  <si>
    <t>Memorex Mouse, Bluetooth</t>
  </si>
  <si>
    <t>ES-2013-3285041</t>
  </si>
  <si>
    <t>Lazio</t>
  </si>
  <si>
    <t>FUR-BO-10001133</t>
  </si>
  <si>
    <t>Ikea Classic Bookcase, Mobile</t>
  </si>
  <si>
    <t>IR-2014-5870</t>
  </si>
  <si>
    <t>Sylvia Foulston</t>
  </si>
  <si>
    <t>Khuzestan</t>
  </si>
  <si>
    <t>OFF-SME-10001754</t>
  </si>
  <si>
    <t>Smead File Folder Labels, 5000 Label Set</t>
  </si>
  <si>
    <t>IN-2011-38111</t>
  </si>
  <si>
    <t>Dave Brooks</t>
  </si>
  <si>
    <t>OFF-BI-10002386</t>
  </si>
  <si>
    <t>CA-2013-146423</t>
  </si>
  <si>
    <t>OFF-PA-10003797</t>
  </si>
  <si>
    <t>Xerox 209</t>
  </si>
  <si>
    <t>IT-2012-5084286</t>
  </si>
  <si>
    <t>Brad Thomas</t>
  </si>
  <si>
    <t>TEC-PH-10002907</t>
  </si>
  <si>
    <t>Motorola Headset, VoIP</t>
  </si>
  <si>
    <t>ES-2014-5747773</t>
  </si>
  <si>
    <t>Rob Williams</t>
  </si>
  <si>
    <t>Baden-WÃ¼rttemberg</t>
  </si>
  <si>
    <t>OFF-LA-10004972</t>
  </si>
  <si>
    <t>Avery File Folder Labels, 5000 Label Set</t>
  </si>
  <si>
    <t>US-2014-132031</t>
  </si>
  <si>
    <t>IN-2012-44474</t>
  </si>
  <si>
    <t>Emily Phan</t>
  </si>
  <si>
    <t>TEC-AC-10000258</t>
  </si>
  <si>
    <t>Belkin Numeric Keypad, Bluetooth</t>
  </si>
  <si>
    <t>MX-2011-134705</t>
  </si>
  <si>
    <t>FUR-TA-10003926</t>
  </si>
  <si>
    <t>Hon Wood Table, with Bottom Storage</t>
  </si>
  <si>
    <t>CA-2013-167682</t>
  </si>
  <si>
    <t>Zuschuss Donatelli</t>
  </si>
  <si>
    <t>TEC-PH-10000673</t>
  </si>
  <si>
    <t>Plantronics Voyager Pro HD - Bluetooth Headset</t>
  </si>
  <si>
    <t>IN-2012-31741</t>
  </si>
  <si>
    <t>Noah Childs</t>
  </si>
  <si>
    <t>Hunan</t>
  </si>
  <si>
    <t>OFF-SU-10002214</t>
  </si>
  <si>
    <t>Kleencut Letter Opener, Easy Grip</t>
  </si>
  <si>
    <t>SF-2013-9440</t>
  </si>
  <si>
    <t>Sanjit Jacobs</t>
  </si>
  <si>
    <t>TEC-BEL-10003177</t>
  </si>
  <si>
    <t>Belkin Keyboard, Erganomic</t>
  </si>
  <si>
    <t>US-2014-153255</t>
  </si>
  <si>
    <t>Joe Kamberova</t>
  </si>
  <si>
    <t>FUR-BO-10004218</t>
  </si>
  <si>
    <t>Bush Heritage Pine Collection 5-Shelf Bookcase, Albany Pine Finish, *Special Order</t>
  </si>
  <si>
    <t>US-2014-127600</t>
  </si>
  <si>
    <t>Bahia</t>
  </si>
  <si>
    <t>OFF-ST-10004660</t>
  </si>
  <si>
    <t>Fellowes Box, Single Width</t>
  </si>
  <si>
    <t>IT-2014-5563463</t>
  </si>
  <si>
    <t>Adrian Barton</t>
  </si>
  <si>
    <t>Dublin</t>
  </si>
  <si>
    <t>Ireland</t>
  </si>
  <si>
    <t>OFF-LA-10000379</t>
  </si>
  <si>
    <t>Harbour Creations Legal Exhibit Labels, 5000 Label Set</t>
  </si>
  <si>
    <t>ES-2013-3963045</t>
  </si>
  <si>
    <t>Henry MacAllister</t>
  </si>
  <si>
    <t>OFF-AR-10001228</t>
  </si>
  <si>
    <t>MX-2014-154739</t>
  </si>
  <si>
    <t>Shaun Chance</t>
  </si>
  <si>
    <t>Artemisa</t>
  </si>
  <si>
    <t>FUR-BO-10002679</t>
  </si>
  <si>
    <t>Ikea Stackable Bookrack, Mobile</t>
  </si>
  <si>
    <t>IN-2014-33666</t>
  </si>
  <si>
    <t>Keith Dawkins</t>
  </si>
  <si>
    <t>Perak</t>
  </si>
  <si>
    <t>Malaysia</t>
  </si>
  <si>
    <t>OFF-BI-10003309</t>
  </si>
  <si>
    <t>Wilson Jones Binder Covers, Clear</t>
  </si>
  <si>
    <t>US-2014-165267</t>
  </si>
  <si>
    <t>FUR-TA-10003663</t>
  </si>
  <si>
    <t>Bevis Computer Table, Adjustable Height</t>
  </si>
  <si>
    <t>TZ-2014-7370</t>
  </si>
  <si>
    <t>Charles Sheldon</t>
  </si>
  <si>
    <t>Shinyanga</t>
  </si>
  <si>
    <t>TEC-BRO-10000463</t>
  </si>
  <si>
    <t>Brother Copy Machine, Color</t>
  </si>
  <si>
    <t>CA-2013-123050</t>
  </si>
  <si>
    <t>Becky Castell</t>
  </si>
  <si>
    <t>FUR-FU-10000723</t>
  </si>
  <si>
    <t>Deflect-o EconoMat Studded, No Bevel Mat for Low Pile Carpeting</t>
  </si>
  <si>
    <t>IZ-2011-2730</t>
  </si>
  <si>
    <t>Christine Abelman</t>
  </si>
  <si>
    <t>Ninawa</t>
  </si>
  <si>
    <t>FUR-TEN-10003050</t>
  </si>
  <si>
    <t>Tenex Photo Frame, Black</t>
  </si>
  <si>
    <t>IN-2013-76828</t>
  </si>
  <si>
    <t>OFF-AR-10002797</t>
  </si>
  <si>
    <t>Sanford Highlighters, Blue</t>
  </si>
  <si>
    <t>KE-2011-6610</t>
  </si>
  <si>
    <t>OFF-AVE-10003549</t>
  </si>
  <si>
    <t>EG-2013-1510</t>
  </si>
  <si>
    <t>Gary McGarr</t>
  </si>
  <si>
    <t>Bani Suwayf</t>
  </si>
  <si>
    <t>OFF-ROG-10003993</t>
  </si>
  <si>
    <t>IT-2011-3076849</t>
  </si>
  <si>
    <t>Jocasta Rupert</t>
  </si>
  <si>
    <t>TEC-CO-10001567</t>
  </si>
  <si>
    <t>Brother Copy Machine, Laser</t>
  </si>
  <si>
    <t>IN-2012-33288</t>
  </si>
  <si>
    <t>Pahang</t>
  </si>
  <si>
    <t>OFF-ST-10002714</t>
  </si>
  <si>
    <t>Eldon Box, Industrial</t>
  </si>
  <si>
    <t>MX-2014-134768</t>
  </si>
  <si>
    <t>Duarte</t>
  </si>
  <si>
    <t>TEC-CO-10003678</t>
  </si>
  <si>
    <t>HP Personal Copier, Color</t>
  </si>
  <si>
    <t>CA-2014-117401</t>
  </si>
  <si>
    <t>Paul Prost</t>
  </si>
  <si>
    <t>Missouri</t>
  </si>
  <si>
    <t>TEC-PH-10003555</t>
  </si>
  <si>
    <t>Motorola HK250 Universal Bluetooth Headset</t>
  </si>
  <si>
    <t>CA-2012-9610</t>
  </si>
  <si>
    <t>OFF-AME-10004759</t>
  </si>
  <si>
    <t>Ames Manila Envelope, with clear poly window</t>
  </si>
  <si>
    <t>IN-2014-29900</t>
  </si>
  <si>
    <t>OFF-ST-10003159</t>
  </si>
  <si>
    <t>Smead Trays, Single Width</t>
  </si>
  <si>
    <t>ES-2014-1920688</t>
  </si>
  <si>
    <t>Todd Boyes</t>
  </si>
  <si>
    <t>TEC-AC-10004849</t>
  </si>
  <si>
    <t>MX-2012-111976</t>
  </si>
  <si>
    <t>OFF-LA-10001800</t>
  </si>
  <si>
    <t>Hon Shipping Labels, Laser Printer Compatible</t>
  </si>
  <si>
    <t>UP-2012-8260</t>
  </si>
  <si>
    <t>Dnipropetrovs'k</t>
  </si>
  <si>
    <t>OFF-IBI-10004074</t>
  </si>
  <si>
    <t>Ibico 3-Hole Punch, Clear</t>
  </si>
  <si>
    <t>MX-2013-142678</t>
  </si>
  <si>
    <t>OFF-PA-10003571</t>
  </si>
  <si>
    <t>Enermax Cards &amp; Envelopes, Recycled</t>
  </si>
  <si>
    <t>IT-2013-1961543</t>
  </si>
  <si>
    <t>Brian Derr</t>
  </si>
  <si>
    <t>OFF-AP-10001266</t>
  </si>
  <si>
    <t>Hoover Toaster, Black</t>
  </si>
  <si>
    <t>ES-2013-2700361</t>
  </si>
  <si>
    <t>Arthur Gainer</t>
  </si>
  <si>
    <t>OFF-ST-10004377</t>
  </si>
  <si>
    <t>MX-2012-154088</t>
  </si>
  <si>
    <t>Marc Crier</t>
  </si>
  <si>
    <t>OFF-PA-10002237</t>
  </si>
  <si>
    <t>Enermax Memo Slips, 8.5 x 11</t>
  </si>
  <si>
    <t>CA-2011-169061</t>
  </si>
  <si>
    <t>OFF-PA-10001878</t>
  </si>
  <si>
    <t>Xerox 1891</t>
  </si>
  <si>
    <t>MX-2012-134817</t>
  </si>
  <si>
    <t>Benjamin Farhat</t>
  </si>
  <si>
    <t>Morelos</t>
  </si>
  <si>
    <t>FUR-CH-10001634</t>
  </si>
  <si>
    <t>Novimex Rocking Chair, Adjustable</t>
  </si>
  <si>
    <t>ID-2012-51677</t>
  </si>
  <si>
    <t>OFF-LA-10004919</t>
  </si>
  <si>
    <t>Smead Color Coded Labels, Alphabetical</t>
  </si>
  <si>
    <t>CA-2014-100748</t>
  </si>
  <si>
    <t>RO-2011-7220</t>
  </si>
  <si>
    <t>Mitch Gastineau</t>
  </si>
  <si>
    <t>Suceava</t>
  </si>
  <si>
    <t>FUR-TEN-10003349</t>
  </si>
  <si>
    <t>Tenex Photo Frame, Durable</t>
  </si>
  <si>
    <t>GV-2014-9540</t>
  </si>
  <si>
    <t>Kindia</t>
  </si>
  <si>
    <t>Guinea</t>
  </si>
  <si>
    <t>OFF-AVE-10002892</t>
  </si>
  <si>
    <t>Avery 3-Hole Punch, Recycled</t>
  </si>
  <si>
    <t>IN-2013-38685</t>
  </si>
  <si>
    <t>Singapore</t>
  </si>
  <si>
    <t>TEC-PH-10000896</t>
  </si>
  <si>
    <t>Cisco Signal Booster, VoIP</t>
  </si>
  <si>
    <t>SF-2014-5070</t>
  </si>
  <si>
    <t>Peter McVee</t>
  </si>
  <si>
    <t>Western Cape</t>
  </si>
  <si>
    <t>TEC-NOK-10001678</t>
  </si>
  <si>
    <t>Nokia Audio Dock, Cordless</t>
  </si>
  <si>
    <t>AG-2013-5820</t>
  </si>
  <si>
    <t>Erin Smith</t>
  </si>
  <si>
    <t>Annaba</t>
  </si>
  <si>
    <t>OFF-SME-10004754</t>
  </si>
  <si>
    <t>Smead Round Labels, Adjustable</t>
  </si>
  <si>
    <t>SF-2013-630</t>
  </si>
  <si>
    <t>Adam Hart</t>
  </si>
  <si>
    <t>TEC-OKI-10000372</t>
  </si>
  <si>
    <t>Okidata Inkjet, Durable</t>
  </si>
  <si>
    <t>IN-2014-82036</t>
  </si>
  <si>
    <t>Frank Preis</t>
  </si>
  <si>
    <t>OFF-BI-10000724</t>
  </si>
  <si>
    <t>IN-2014-58236</t>
  </si>
  <si>
    <t>Maureen Gnade</t>
  </si>
  <si>
    <t>OFF-BI-10000206</t>
  </si>
  <si>
    <t>Wilson Jones Binder Covers, Economy</t>
  </si>
  <si>
    <t>MX-2013-160997</t>
  </si>
  <si>
    <t>OFF-LA-10000203</t>
  </si>
  <si>
    <t>Hon Round Labels, Laser Printer Compatible</t>
  </si>
  <si>
    <t>IN-2014-22137</t>
  </si>
  <si>
    <t>Alan Dominguez</t>
  </si>
  <si>
    <t>OFF-LA-10000244</t>
  </si>
  <si>
    <t>Hon Legal Exhibit Labels, Alphabetical</t>
  </si>
  <si>
    <t>CA-2012-145485</t>
  </si>
  <si>
    <t>OFF-ST-10000649</t>
  </si>
  <si>
    <t>Hanging Personal Folder File</t>
  </si>
  <si>
    <t>IN-2011-45867</t>
  </si>
  <si>
    <t>Karen Carlisle</t>
  </si>
  <si>
    <t>FUR-CH-10004312</t>
  </si>
  <si>
    <t>US-2011-160444</t>
  </si>
  <si>
    <t>Dan Campbell</t>
  </si>
  <si>
    <t>OFF-ST-10000563</t>
  </si>
  <si>
    <t>Fellowes Bankers Box Stor/Drawer Steel Plus</t>
  </si>
  <si>
    <t>CA-2014-109757</t>
  </si>
  <si>
    <t>OFF-AR-10002335</t>
  </si>
  <si>
    <t>DIXON Oriole Pencils</t>
  </si>
  <si>
    <t>CA-2013-133725</t>
  </si>
  <si>
    <t>Ken Lonsdale</t>
  </si>
  <si>
    <t>TEC-PH-10004165</t>
  </si>
  <si>
    <t>Mitel MiVoice 5330e IP Phone</t>
  </si>
  <si>
    <t>MX-2014-163195</t>
  </si>
  <si>
    <t>Julia Barnett</t>
  </si>
  <si>
    <t>Santiago</t>
  </si>
  <si>
    <t>Chile</t>
  </si>
  <si>
    <t>OFF-PA-10003224</t>
  </si>
  <si>
    <t>Eaton Computer Printout Paper, Premium</t>
  </si>
  <si>
    <t>TZ-2014-5550</t>
  </si>
  <si>
    <t>Laurel Workman</t>
  </si>
  <si>
    <t>Mwanza</t>
  </si>
  <si>
    <t>OFF-ELI-10003277</t>
  </si>
  <si>
    <t>Elite Letter Opener, High Speed</t>
  </si>
  <si>
    <t>US-2011-144078</t>
  </si>
  <si>
    <t>Eugene Moren</t>
  </si>
  <si>
    <t>Zulia</t>
  </si>
  <si>
    <t>OFF-AP-10003588</t>
  </si>
  <si>
    <t>Hoover Refrigerator, Silver</t>
  </si>
  <si>
    <t>ES-2014-1398657</t>
  </si>
  <si>
    <t>OFF-FA-10000189</t>
  </si>
  <si>
    <t>OIC Paper Clips, 12 Pack</t>
  </si>
  <si>
    <t>EG-2013-4530</t>
  </si>
  <si>
    <t>Suhaj</t>
  </si>
  <si>
    <t>FUR-SAU-10004653</t>
  </si>
  <si>
    <t>Sauder Classic Bookcase, Traditional</t>
  </si>
  <si>
    <t>AO-2011-9910</t>
  </si>
  <si>
    <t>Luanda</t>
  </si>
  <si>
    <t>Angola</t>
  </si>
  <si>
    <t>OFF-HAR-10002083</t>
  </si>
  <si>
    <t>Harbour Creations Round Labels, 5000 Label Set</t>
  </si>
  <si>
    <t>IN-2014-74805</t>
  </si>
  <si>
    <t>Inner Mongolia</t>
  </si>
  <si>
    <t>OFF-FA-10001184</t>
  </si>
  <si>
    <t>Stockwell Staples, Assorted Sizes</t>
  </si>
  <si>
    <t>ES-2013-5113556</t>
  </si>
  <si>
    <t>OFF-ST-10002555</t>
  </si>
  <si>
    <t>Eldon Lockers, Industrial</t>
  </si>
  <si>
    <t>IT-2013-1109084</t>
  </si>
  <si>
    <t>Cindy Chapman</t>
  </si>
  <si>
    <t>OFF-ST-10003785</t>
  </si>
  <si>
    <t>Eldon Lockers, Blue</t>
  </si>
  <si>
    <t>CG-2013-2860</t>
  </si>
  <si>
    <t>Anemone Ratner</t>
  </si>
  <si>
    <t>Maniema</t>
  </si>
  <si>
    <t>OFF-BIC-10002440</t>
  </si>
  <si>
    <t>BIC Sketch Pad, Blue</t>
  </si>
  <si>
    <t>CA-2011-151001</t>
  </si>
  <si>
    <t>OFF-ST-10001031</t>
  </si>
  <si>
    <t>Adjustable Personal File Tote</t>
  </si>
  <si>
    <t>IN-2011-30292</t>
  </si>
  <si>
    <t>Dhaka</t>
  </si>
  <si>
    <t>TEC-AC-10000866</t>
  </si>
  <si>
    <t>Belkin Router, Erganomic</t>
  </si>
  <si>
    <t>ES-2012-5566593</t>
  </si>
  <si>
    <t>FUR-CH-10002585</t>
  </si>
  <si>
    <t>Harbour Creations Executive Leather Armchair, Black</t>
  </si>
  <si>
    <t>LY-2014-6400</t>
  </si>
  <si>
    <t>Maribeth Schnelling</t>
  </si>
  <si>
    <t>Banghazi</t>
  </si>
  <si>
    <t>OFF-STA-10003908</t>
  </si>
  <si>
    <t>Stanley Highlighters, Blue</t>
  </si>
  <si>
    <t>RW-2012-600</t>
  </si>
  <si>
    <t>OFF-STO-10003082</t>
  </si>
  <si>
    <t>UP-2014-3650</t>
  </si>
  <si>
    <t>Justin Deggeller</t>
  </si>
  <si>
    <t>Vinnytsya</t>
  </si>
  <si>
    <t>FUR-TEN-10003552</t>
  </si>
  <si>
    <t>Tenex Clock, Durable</t>
  </si>
  <si>
    <t>MX-2013-134180</t>
  </si>
  <si>
    <t>Frank Merwin</t>
  </si>
  <si>
    <t>OFF-SU-10003966</t>
  </si>
  <si>
    <t>Kleencut Trimmer, Serrated</t>
  </si>
  <si>
    <t>TU-2013-3550</t>
  </si>
  <si>
    <t>Duane Noonan</t>
  </si>
  <si>
    <t>Eskisehir</t>
  </si>
  <si>
    <t>OFF-ELD-10003038</t>
  </si>
  <si>
    <t>Eldon Shelving, Blue</t>
  </si>
  <si>
    <t>IN-2011-26967</t>
  </si>
  <si>
    <t>TEC-MA-10001811</t>
  </si>
  <si>
    <t>Okidata Card Printer, Durable</t>
  </si>
  <si>
    <t>CA-2013-111913</t>
  </si>
  <si>
    <t>Linda Cazamias</t>
  </si>
  <si>
    <t>TEC-PH-10002275</t>
  </si>
  <si>
    <t>Mitel 5320 IP Phone VoIP phone</t>
  </si>
  <si>
    <t>CA-2012-166604</t>
  </si>
  <si>
    <t>Anna HÃ¤berlin</t>
  </si>
  <si>
    <t>Georgia</t>
  </si>
  <si>
    <t>OFF-EN-10004147</t>
  </si>
  <si>
    <t>Wausau Papers Astrobrights Colored Envelopes</t>
  </si>
  <si>
    <t>CA-2011-127166</t>
  </si>
  <si>
    <t>Katherine Hughes</t>
  </si>
  <si>
    <t>OFF-BI-10000977</t>
  </si>
  <si>
    <t>Ibico Plastic Spiral Binding Combs</t>
  </si>
  <si>
    <t>CA-2013-149783</t>
  </si>
  <si>
    <t>Delfina Latchford</t>
  </si>
  <si>
    <t>OFF-AR-10002987</t>
  </si>
  <si>
    <t>Prismacolor Color Pencil Set</t>
  </si>
  <si>
    <t>ML-2014-720</t>
  </si>
  <si>
    <t>Annie Zypern</t>
  </si>
  <si>
    <t>Bamako</t>
  </si>
  <si>
    <t>Mali</t>
  </si>
  <si>
    <t>OFF-FEL-10001343</t>
  </si>
  <si>
    <t>Fellowes Box, Wire Frame</t>
  </si>
  <si>
    <t>IN-2013-76681</t>
  </si>
  <si>
    <t>Riau</t>
  </si>
  <si>
    <t>OFF-LA-10000784</t>
  </si>
  <si>
    <t>Harbour Creations File Folder Labels, 5000 Label Set</t>
  </si>
  <si>
    <t>ES-2012-2268105</t>
  </si>
  <si>
    <t>David Philippe</t>
  </si>
  <si>
    <t>TEC-PH-10004601</t>
  </si>
  <si>
    <t>Nokia Audio Dock, with Caller ID</t>
  </si>
  <si>
    <t>IN-2014-72747</t>
  </si>
  <si>
    <t>TEC-CO-10004605</t>
  </si>
  <si>
    <t>HP Copy Machine, Color</t>
  </si>
  <si>
    <t>CA-2012-132941</t>
  </si>
  <si>
    <t>OFF-PA-10002160</t>
  </si>
  <si>
    <t>Xerox 1978</t>
  </si>
  <si>
    <t>MX-2013-121405</t>
  </si>
  <si>
    <t>Oruro</t>
  </si>
  <si>
    <t>Bolivia</t>
  </si>
  <si>
    <t>OFF-PA-10002219</t>
  </si>
  <si>
    <t>SanDisk Parchment Paper, Multicolor</t>
  </si>
  <si>
    <t>IN-2012-66342</t>
  </si>
  <si>
    <t>TEC-AC-10000642</t>
  </si>
  <si>
    <t>Logitech Flash Drive, Bluetooth</t>
  </si>
  <si>
    <t>ID-2013-77248</t>
  </si>
  <si>
    <t>FUR-FU-10004797</t>
  </si>
  <si>
    <t>Tenex Stacking Tray, Erganomic</t>
  </si>
  <si>
    <t>MX-2012-145653</t>
  </si>
  <si>
    <t>Noel Staavos</t>
  </si>
  <si>
    <t>OFF-PA-10004600</t>
  </si>
  <si>
    <t>Xerox Cards &amp; Envelopes, Premium</t>
  </si>
  <si>
    <t>SA-2014-8450</t>
  </si>
  <si>
    <t>Eva Jacobs</t>
  </si>
  <si>
    <t>FUR-NOV-10000847</t>
  </si>
  <si>
    <t>Novimex Executive Leather Armchair, Adjustable</t>
  </si>
  <si>
    <t>ES-2013-3508441</t>
  </si>
  <si>
    <t>OFF-AP-10000806</t>
  </si>
  <si>
    <t>KitchenAid Coffee Grinder, Silver</t>
  </si>
  <si>
    <t>GH-2014-2090</t>
  </si>
  <si>
    <t>Melanie Seite</t>
  </si>
  <si>
    <t>Greater Accra</t>
  </si>
  <si>
    <t>Ghana</t>
  </si>
  <si>
    <t>OFF-STI-10003234</t>
  </si>
  <si>
    <t>Stiletto Trimmer, Steel</t>
  </si>
  <si>
    <t>MX-2013-123015</t>
  </si>
  <si>
    <t>Max Ludwig</t>
  </si>
  <si>
    <t>ES-2013-2757712</t>
  </si>
  <si>
    <t>Erin Mull</t>
  </si>
  <si>
    <t>TEC-PH-10002759</t>
  </si>
  <si>
    <t>Cisco Smart Phone, Cordless</t>
  </si>
  <si>
    <t>CA-2013-122728</t>
  </si>
  <si>
    <t>Eric Barreto</t>
  </si>
  <si>
    <t>OFF-PA-10004040</t>
  </si>
  <si>
    <t>Universal Premium White Copier/Laser Paper (20Lb. and 87 Bright)</t>
  </si>
  <si>
    <t>ID-2014-51803</t>
  </si>
  <si>
    <t>Adam Bellavance</t>
  </si>
  <si>
    <t>OFF-FA-10004659</t>
  </si>
  <si>
    <t>RS-2011-1890</t>
  </si>
  <si>
    <t>Belgorod</t>
  </si>
  <si>
    <t>FUR-HAR-10000441</t>
  </si>
  <si>
    <t>Harbour Creations Rocking Chair, Adjustable</t>
  </si>
  <si>
    <t>CA-2012-144386</t>
  </si>
  <si>
    <t>Grant Thornton</t>
  </si>
  <si>
    <t>OFF-BI-10001116</t>
  </si>
  <si>
    <t>Wilson Jones 1" Hanging DublLock Ring Binders</t>
  </si>
  <si>
    <t>MX-2011-147718</t>
  </si>
  <si>
    <t>OFF-SU-10002466</t>
  </si>
  <si>
    <t>Elite Shears, Easy Grip</t>
  </si>
  <si>
    <t>MX-2012-153780</t>
  </si>
  <si>
    <t>Giulietta Weimer</t>
  </si>
  <si>
    <t>Sonsonate</t>
  </si>
  <si>
    <t>OFF-FA-10004258</t>
  </si>
  <si>
    <t>OIC Thumb Tacks, Bulk Pack</t>
  </si>
  <si>
    <t>MX-2013-131387</t>
  </si>
  <si>
    <t>OFF-PA-10004854</t>
  </si>
  <si>
    <t>Green Bar Cards &amp; Envelopes, Recycled</t>
  </si>
  <si>
    <t>US-2012-103814</t>
  </si>
  <si>
    <t>Harold Dahlen</t>
  </si>
  <si>
    <t>OFF-AP-10002625</t>
  </si>
  <si>
    <t>Cuisinart Microwave, Black</t>
  </si>
  <si>
    <t>ID-2013-52370</t>
  </si>
  <si>
    <t>FUR-CH-10002573</t>
  </si>
  <si>
    <t>Office Star Executive Leather Armchair, Adjustable</t>
  </si>
  <si>
    <t>US-2011-119935</t>
  </si>
  <si>
    <t>FUR-FU-10000499</t>
  </si>
  <si>
    <t>Tenex Light Bulb, Duo Pack</t>
  </si>
  <si>
    <t>ES-2011-2464932</t>
  </si>
  <si>
    <t>Bill Stewart</t>
  </si>
  <si>
    <t>OFF-FA-10001892</t>
  </si>
  <si>
    <t>Advantus Clamps, Metal</t>
  </si>
  <si>
    <t>CA-2013-100300</t>
  </si>
  <si>
    <t>Max Jones</t>
  </si>
  <si>
    <t>OFF-PA-10000418</t>
  </si>
  <si>
    <t>Xerox 189</t>
  </si>
  <si>
    <t>ID-2014-39441</t>
  </si>
  <si>
    <t>Angele Hood</t>
  </si>
  <si>
    <t>Kalimantan Timur</t>
  </si>
  <si>
    <t>FUR-FU-10004995</t>
  </si>
  <si>
    <t>Deflect-O Light Bulb, Durable</t>
  </si>
  <si>
    <t>ID-2013-48555</t>
  </si>
  <si>
    <t>Dan Lawera</t>
  </si>
  <si>
    <t>Western Visayas</t>
  </si>
  <si>
    <t>OFF-LA-10002107</t>
  </si>
  <si>
    <t>Harbour Creations Removable Labels, Laser Printer Compatible</t>
  </si>
  <si>
    <t>CA-2012-122287</t>
  </si>
  <si>
    <t>Skye Norling</t>
  </si>
  <si>
    <t>OFF-BI-10003707</t>
  </si>
  <si>
    <t>Aluminum Screw Posts</t>
  </si>
  <si>
    <t>CA-2011-110030</t>
  </si>
  <si>
    <t>Luke Foster</t>
  </si>
  <si>
    <t>FUR-FU-10002759</t>
  </si>
  <si>
    <t>12-1/2 Diameter Round Wall Clock</t>
  </si>
  <si>
    <t>MX-2012-134712</t>
  </si>
  <si>
    <t>TEC-MA-10003366</t>
  </si>
  <si>
    <t>Epson Card Printer, White</t>
  </si>
  <si>
    <t>KZ-2011-4170</t>
  </si>
  <si>
    <t>David Flashing</t>
  </si>
  <si>
    <t>Almaty</t>
  </si>
  <si>
    <t>Kazakhstan</t>
  </si>
  <si>
    <t>TEC-CAN-10002802</t>
  </si>
  <si>
    <t>Canon Personal Copier, Digital</t>
  </si>
  <si>
    <t>MX-2014-104304</t>
  </si>
  <si>
    <t>Michael Grace</t>
  </si>
  <si>
    <t>Jalisco</t>
  </si>
  <si>
    <t>OFF-EN-10001751</t>
  </si>
  <si>
    <t>GlobeWeis Mailers, Set of 50</t>
  </si>
  <si>
    <t>TU-2013-1610</t>
  </si>
  <si>
    <t>Joni Sundaresam</t>
  </si>
  <si>
    <t>Kars</t>
  </si>
  <si>
    <t>OFF-AVE-10000432</t>
  </si>
  <si>
    <t>Avery Index Tab, Clear</t>
  </si>
  <si>
    <t>IN-2014-77689</t>
  </si>
  <si>
    <t>West Bengal</t>
  </si>
  <si>
    <t>FUR-FU-10001557</t>
  </si>
  <si>
    <t>Advantus Clock, Duo Pack</t>
  </si>
  <si>
    <t>MX-2014-122567</t>
  </si>
  <si>
    <t>Seth Vernon</t>
  </si>
  <si>
    <t>MÃ©xico</t>
  </si>
  <si>
    <t>OFF-SU-10003892</t>
  </si>
  <si>
    <t>Acme Box Cutter, High Speed</t>
  </si>
  <si>
    <t>EN-2014-1040</t>
  </si>
  <si>
    <t>Matt Connell</t>
  </si>
  <si>
    <t>Harjumaa</t>
  </si>
  <si>
    <t>Estonia</t>
  </si>
  <si>
    <t>FUR-RUB-10003699</t>
  </si>
  <si>
    <t>Rubbermaid Light Bulb, Duo Pack</t>
  </si>
  <si>
    <t>ID-2014-11098</t>
  </si>
  <si>
    <t>Neil Ducich</t>
  </si>
  <si>
    <t>Western Australia</t>
  </si>
  <si>
    <t>FUR-FU-10003447</t>
  </si>
  <si>
    <t>Eldon Light Bulb, Duo Pack</t>
  </si>
  <si>
    <t>EG-2012-40</t>
  </si>
  <si>
    <t>Matthew Clasen</t>
  </si>
  <si>
    <t>OFF-XER-10000641</t>
  </si>
  <si>
    <t>Xerox Cards &amp; Envelopes, Recycled</t>
  </si>
  <si>
    <t>PL-2011-7410</t>
  </si>
  <si>
    <t>Lodz</t>
  </si>
  <si>
    <t>OFF-NOV-10003578</t>
  </si>
  <si>
    <t>Novimex Color Coded Labels, Laser Printer Compatible</t>
  </si>
  <si>
    <t>CA-2014-126865</t>
  </si>
  <si>
    <t>Naresj Patel</t>
  </si>
  <si>
    <t>OFF-PA-10003039</t>
  </si>
  <si>
    <t>Xerox 1960</t>
  </si>
  <si>
    <t>MX-2014-153192</t>
  </si>
  <si>
    <t>Dorothy Badders</t>
  </si>
  <si>
    <t>OFF-FA-10001761</t>
  </si>
  <si>
    <t>OIC Thumb Tacks, Metal</t>
  </si>
  <si>
    <t>ES-2014-1960568</t>
  </si>
  <si>
    <t>Mike Kennedy</t>
  </si>
  <si>
    <t>TEC-PH-10001070</t>
  </si>
  <si>
    <t>Samsung Headset, VoIP</t>
  </si>
  <si>
    <t>ES-2013-2993189</t>
  </si>
  <si>
    <t>Sanjit Engle</t>
  </si>
  <si>
    <t>TEC-MA-10003078</t>
  </si>
  <si>
    <t>Epson Printer, White</t>
  </si>
  <si>
    <t>US-2013-152373</t>
  </si>
  <si>
    <t>Pete Takahito</t>
  </si>
  <si>
    <t>OFF-ST-10003479</t>
  </si>
  <si>
    <t>Eldon Base for stackable storage shelf, platinum</t>
  </si>
  <si>
    <t>IN-2014-55086</t>
  </si>
  <si>
    <t>Jeremy Ellison</t>
  </si>
  <si>
    <t>Guangxi</t>
  </si>
  <si>
    <t>OFF-FA-10004027</t>
  </si>
  <si>
    <t>OIC Staples, Bulk Pack</t>
  </si>
  <si>
    <t>CA-2011-146640</t>
  </si>
  <si>
    <t>Helen Abelman</t>
  </si>
  <si>
    <t>OFF-BI-10002867</t>
  </si>
  <si>
    <t>GBC Recycled Regency Composition Covers</t>
  </si>
  <si>
    <t>IN-2014-41163</t>
  </si>
  <si>
    <t>Joni Blumstein</t>
  </si>
  <si>
    <t>OFF-EN-10004503</t>
  </si>
  <si>
    <t>GlobeWeis Peel and Seal, Security-Tint</t>
  </si>
  <si>
    <t>BU-2012-7140</t>
  </si>
  <si>
    <t>Vratsa</t>
  </si>
  <si>
    <t>OFF-SME-10001652</t>
  </si>
  <si>
    <t>Smead Trays, Wire Frame</t>
  </si>
  <si>
    <t>KE-2014-3820</t>
  </si>
  <si>
    <t>Liz Willingham</t>
  </si>
  <si>
    <t>Coast</t>
  </si>
  <si>
    <t>OFF-IBI-10000080</t>
  </si>
  <si>
    <t>Ibico Binder, Recycled</t>
  </si>
  <si>
    <t>ID-2012-45363</t>
  </si>
  <si>
    <t>OFF-FA-10002481</t>
  </si>
  <si>
    <t>OIC Rubber Bands, 12 Pack</t>
  </si>
  <si>
    <t>ID-2013-29151</t>
  </si>
  <si>
    <t>TEC-AC-10001352</t>
  </si>
  <si>
    <t>MX-2011-166331</t>
  </si>
  <si>
    <t>OFF-LA-10003337</t>
  </si>
  <si>
    <t>Harbour Creations Removable Labels, Adjustable</t>
  </si>
  <si>
    <t>MX-2014-142048</t>
  </si>
  <si>
    <t>OFF-BI-10004145</t>
  </si>
  <si>
    <t>Wilson Jones Hole Reinforcements, Economy</t>
  </si>
  <si>
    <t>IN-2013-58873</t>
  </si>
  <si>
    <t>OFF-SU-10002448</t>
  </si>
  <si>
    <t>Stiletto Trimmer, High Speed</t>
  </si>
  <si>
    <t>EG-2012-6420</t>
  </si>
  <si>
    <t>Maurice Satty</t>
  </si>
  <si>
    <t>OFF-SAN-10001295</t>
  </si>
  <si>
    <t>IN-2012-72229</t>
  </si>
  <si>
    <t>Dario Medina</t>
  </si>
  <si>
    <t>South Australia</t>
  </si>
  <si>
    <t>TEC-PH-10000499</t>
  </si>
  <si>
    <t>ES-2014-1779830</t>
  </si>
  <si>
    <t>OFF-EN-10004150</t>
  </si>
  <si>
    <t>GlobeWeis Business Envelopes, Recycled</t>
  </si>
  <si>
    <t>IN-2013-53609</t>
  </si>
  <si>
    <t>FUR-CH-10000258</t>
  </si>
  <si>
    <t>Office Star Steel Folding Chair, Red</t>
  </si>
  <si>
    <t>TU-2014-4980</t>
  </si>
  <si>
    <t>Van</t>
  </si>
  <si>
    <t>OFF-SAN-10001862</t>
  </si>
  <si>
    <t>Sanford Highlighters, Easy-Erase</t>
  </si>
  <si>
    <t>MX-2014-110961</t>
  </si>
  <si>
    <t>Bobby Elias</t>
  </si>
  <si>
    <t>Miranda</t>
  </si>
  <si>
    <t>TEC-CO-10004521</t>
  </si>
  <si>
    <t>HP Personal Copier, Laser</t>
  </si>
  <si>
    <t>ES-2014-1393638</t>
  </si>
  <si>
    <t>Duane Huffman</t>
  </si>
  <si>
    <t>FUR-BO-10000259</t>
  </si>
  <si>
    <t>Safco Classic Bookcase, Traditional</t>
  </si>
  <si>
    <t>IT-2014-5285883</t>
  </si>
  <si>
    <t>OFF-LA-10003283</t>
  </si>
  <si>
    <t>ES-2014-1879715</t>
  </si>
  <si>
    <t>Joseph Airdo</t>
  </si>
  <si>
    <t>TEC-PH-10004992</t>
  </si>
  <si>
    <t>Apple Office Telephone, Full Size</t>
  </si>
  <si>
    <t>ID-2013-83226</t>
  </si>
  <si>
    <t>Katrina Bavinger</t>
  </si>
  <si>
    <t>OFF-AR-10002517</t>
  </si>
  <si>
    <t>BIC Highlighters, Blue</t>
  </si>
  <si>
    <t>CA-2013-149965</t>
  </si>
  <si>
    <t>Bill Shonely</t>
  </si>
  <si>
    <t>Oklahoma</t>
  </si>
  <si>
    <t>TEC-AC-10004877</t>
  </si>
  <si>
    <t>ImationÂ 30456 USBÂ Flash DriveÂ 8GB</t>
  </si>
  <si>
    <t>MX-2013-119970</t>
  </si>
  <si>
    <t>OFF-ST-10000990</t>
  </si>
  <si>
    <t>Eldon Lockers, Single Width</t>
  </si>
  <si>
    <t>TU-2013-3080</t>
  </si>
  <si>
    <t>Ross DeVincentis</t>
  </si>
  <si>
    <t>TEC-OKI-10003770</t>
  </si>
  <si>
    <t>Okidata Receipt Printer, Durable</t>
  </si>
  <si>
    <t>EG-2013-1620</t>
  </si>
  <si>
    <t>Al Iskandariyah</t>
  </si>
  <si>
    <t>OFF-IBI-10004855</t>
  </si>
  <si>
    <t>Ibico Hole Reinforcements, Recycled</t>
  </si>
  <si>
    <t>IN-2013-62093</t>
  </si>
  <si>
    <t>Barry Gonzalez</t>
  </si>
  <si>
    <t>FUR-CH-10000432</t>
  </si>
  <si>
    <t>Harbour Creations Swivel Stool, Adjustable</t>
  </si>
  <si>
    <t>IT-2011-4752666</t>
  </si>
  <si>
    <t>Navarra</t>
  </si>
  <si>
    <t>OFF-ST-10000300</t>
  </si>
  <si>
    <t>Eldon Folders, Wire Frame</t>
  </si>
  <si>
    <t>IN-2013-39231</t>
  </si>
  <si>
    <t>Ken Black</t>
  </si>
  <si>
    <t>Tasmania</t>
  </si>
  <si>
    <t>OFF-EN-10004181</t>
  </si>
  <si>
    <t>ID-2014-75533</t>
  </si>
  <si>
    <t>Susan Vittorini</t>
  </si>
  <si>
    <t>TEC-CO-10001410</t>
  </si>
  <si>
    <t>Canon Personal Copier, High-Speed</t>
  </si>
  <si>
    <t>BO-2014-2490</t>
  </si>
  <si>
    <t>Homyel'</t>
  </si>
  <si>
    <t>Belarus</t>
  </si>
  <si>
    <t>OFF-AME-10002557</t>
  </si>
  <si>
    <t>Ames Business Envelopes, Recycled</t>
  </si>
  <si>
    <t>MX-2012-153612</t>
  </si>
  <si>
    <t>Guanajuato</t>
  </si>
  <si>
    <t>US-2012-163825</t>
  </si>
  <si>
    <t>Lena Creighton</t>
  </si>
  <si>
    <t>OFF-BI-10003527</t>
  </si>
  <si>
    <t>Fellowes PB500 Electric Punch Plastic Comb Binding Machine with Manual Bind</t>
  </si>
  <si>
    <t>IN-2013-34583</t>
  </si>
  <si>
    <t>Denise Leinenbach</t>
  </si>
  <si>
    <t>OFF-LA-10004488</t>
  </si>
  <si>
    <t>Novimex Color Coded Labels, Adjustable</t>
  </si>
  <si>
    <t>CA-2011-130624</t>
  </si>
  <si>
    <t>Toby Braunhardt</t>
  </si>
  <si>
    <t>OFF-AP-10001303</t>
  </si>
  <si>
    <t>Holmes Cool Mist Humidifier for the Whole House with 8-Gallon Output per Day, Extended Life Filter</t>
  </si>
  <si>
    <t>US-2013-165078</t>
  </si>
  <si>
    <t>Michelle Arnett</t>
  </si>
  <si>
    <t>OFF-LA-10000414</t>
  </si>
  <si>
    <t>Avery 503</t>
  </si>
  <si>
    <t>GV-2013-5210</t>
  </si>
  <si>
    <t>NzÃ©rÃ©korÃ©</t>
  </si>
  <si>
    <t>OFF-HOO-10001881</t>
  </si>
  <si>
    <t>Hoover Stove, White</t>
  </si>
  <si>
    <t>ID-2013-75372</t>
  </si>
  <si>
    <t>FUR-FU-10000944</t>
  </si>
  <si>
    <t>Tenex Door Stop, Black</t>
  </si>
  <si>
    <t>TU-2011-6800</t>
  </si>
  <si>
    <t>Aydin</t>
  </si>
  <si>
    <t>OFF-SME-10002467</t>
  </si>
  <si>
    <t>Smead Round Labels, Alphabetical</t>
  </si>
  <si>
    <t>IZ-2012-6910</t>
  </si>
  <si>
    <t>Lena Cacioppo</t>
  </si>
  <si>
    <t>Arbil</t>
  </si>
  <si>
    <t>OFF-HAM-10002778</t>
  </si>
  <si>
    <t>Hamilton Beach Microwave, Black</t>
  </si>
  <si>
    <t>CA-2013-160500</t>
  </si>
  <si>
    <t>Darrin Martin</t>
  </si>
  <si>
    <t>FUR-TA-10003748</t>
  </si>
  <si>
    <t>Bevis 36 x 72 Conference Tables</t>
  </si>
  <si>
    <t>IN-2014-62849</t>
  </si>
  <si>
    <t>Shaanxi</t>
  </si>
  <si>
    <t>ID-2014-29081</t>
  </si>
  <si>
    <t>Erica Smith</t>
  </si>
  <si>
    <t>OFF-EN-10001154</t>
  </si>
  <si>
    <t>Kraft Clasp Envelope, Set of 50</t>
  </si>
  <si>
    <t>CA-2013-144092</t>
  </si>
  <si>
    <t>Logan Haushalter</t>
  </si>
  <si>
    <t>FUR-CH-10004875</t>
  </si>
  <si>
    <t>Harbour Creations 67200 Series Stacking Chairs</t>
  </si>
  <si>
    <t>CA-2011-154963</t>
  </si>
  <si>
    <t>FUR-CH-10004698</t>
  </si>
  <si>
    <t>Padded Folding Chairs, Black, 4/Carton</t>
  </si>
  <si>
    <t>CM-2011-1770</t>
  </si>
  <si>
    <t>Clay Ludtke</t>
  </si>
  <si>
    <t>Centre</t>
  </si>
  <si>
    <t>Cameroon</t>
  </si>
  <si>
    <t>FUR-DEF-10004141</t>
  </si>
  <si>
    <t>Deflect-O Photo Frame, Durable</t>
  </si>
  <si>
    <t>MX-2014-166086</t>
  </si>
  <si>
    <t>OFF-LA-10000448</t>
  </si>
  <si>
    <t>Hon File Folder Labels, Alphabetical</t>
  </si>
  <si>
    <t>US-2012-113649</t>
  </si>
  <si>
    <t>OFF-ST-10004532</t>
  </si>
  <si>
    <t>Tenex File Cart, Single Width</t>
  </si>
  <si>
    <t>TU-2013-3210</t>
  </si>
  <si>
    <t>OFF-ROG-10001399</t>
  </si>
  <si>
    <t>Rogers Shelving, Single Width</t>
  </si>
  <si>
    <t>ES-2012-3241112</t>
  </si>
  <si>
    <t>Adrian Hane</t>
  </si>
  <si>
    <t>FUR-CH-10000685</t>
  </si>
  <si>
    <t>Hon Executive Leather Armchair, Black</t>
  </si>
  <si>
    <t>MO-2011-9460</t>
  </si>
  <si>
    <t>Amy Hunt</t>
  </si>
  <si>
    <t>Marrakech-Tensift-El Haouz</t>
  </si>
  <si>
    <t>FUR-OFF-10001798</t>
  </si>
  <si>
    <t>IN-2013-49297</t>
  </si>
  <si>
    <t>Toby Gnade</t>
  </si>
  <si>
    <t>Ibaraki</t>
  </si>
  <si>
    <t>MX-2012-113817</t>
  </si>
  <si>
    <t>Deanra Eno</t>
  </si>
  <si>
    <t>TEC-PH-10002647</t>
  </si>
  <si>
    <t>Nokia Headset, VoIP</t>
  </si>
  <si>
    <t>CA-2012-115945</t>
  </si>
  <si>
    <t>OFF-BI-10004330</t>
  </si>
  <si>
    <t>GBC Velobind Prepunched Cover Sets, Regency Series</t>
  </si>
  <si>
    <t>BO-2012-5160</t>
  </si>
  <si>
    <t>Hrodna</t>
  </si>
  <si>
    <t>FUR-IKE-10001301</t>
  </si>
  <si>
    <t>Ikea Stackable Bookrack, Pine</t>
  </si>
  <si>
    <t>SF-2014-2410</t>
  </si>
  <si>
    <t>TEC-EPS-10000774</t>
  </si>
  <si>
    <t>Epson Phone, Red</t>
  </si>
  <si>
    <t>MX-2014-122021</t>
  </si>
  <si>
    <t>Misiones</t>
  </si>
  <si>
    <t>FUR-CH-10000105</t>
  </si>
  <si>
    <t>Novimex Bag Chairs, Black</t>
  </si>
  <si>
    <t>CG-2013-1870</t>
  </si>
  <si>
    <t>Katanga</t>
  </si>
  <si>
    <t>ES-2014-1666831</t>
  </si>
  <si>
    <t>TEC-AC-10000815</t>
  </si>
  <si>
    <t>Enermax Flash Drive, Erganomic</t>
  </si>
  <si>
    <t>ES-2013-1217902</t>
  </si>
  <si>
    <t>TEC-AC-10004997</t>
  </si>
  <si>
    <t>Belkin Memory Card, Bluetooth</t>
  </si>
  <si>
    <t>US-2011-165316</t>
  </si>
  <si>
    <t>Lori Olson</t>
  </si>
  <si>
    <t>OFF-LA-10004947</t>
  </si>
  <si>
    <t>Hon Shipping Labels, 5000 Label Set</t>
  </si>
  <si>
    <t>IN-2014-16852</t>
  </si>
  <si>
    <t>Tamil Nadu</t>
  </si>
  <si>
    <t>TEC-AC-10002533</t>
  </si>
  <si>
    <t>Enermax Memory Card, USB</t>
  </si>
  <si>
    <t>ES-2013-1680695</t>
  </si>
  <si>
    <t>OFF-ST-10002172</t>
  </si>
  <si>
    <t>Fellowes Trays, Blue</t>
  </si>
  <si>
    <t>MX-2011-144827</t>
  </si>
  <si>
    <t>Giulietta Dortch</t>
  </si>
  <si>
    <t>OFF-PA-10001004</t>
  </si>
  <si>
    <t>Eaton Parchment Paper, 8.5 x 11</t>
  </si>
  <si>
    <t>US-2013-167472</t>
  </si>
  <si>
    <t>Clytie Kelty</t>
  </si>
  <si>
    <t>Arkansas</t>
  </si>
  <si>
    <t>OFF-BI-10001721</t>
  </si>
  <si>
    <t>Trimflex Flexible Post Binders</t>
  </si>
  <si>
    <t>IN-2011-60560</t>
  </si>
  <si>
    <t>TEC-CO-10004535</t>
  </si>
  <si>
    <t>NI-2013-5540</t>
  </si>
  <si>
    <t>OFF-ACC-10003265</t>
  </si>
  <si>
    <t>Accos Rubber Bands, Bulk Pack</t>
  </si>
  <si>
    <t>KE-2013-5450</t>
  </si>
  <si>
    <t>Raymond Buch</t>
  </si>
  <si>
    <t>OFF-ACM-10001029</t>
  </si>
  <si>
    <t>Acme Box Cutter, Serrated</t>
  </si>
  <si>
    <t>PL-2013-5500</t>
  </si>
  <si>
    <t>Dana Kaydos</t>
  </si>
  <si>
    <t>OFF-BRE-10000493</t>
  </si>
  <si>
    <t>Breville Coffee Grinder, Red</t>
  </si>
  <si>
    <t>MX-2012-115945</t>
  </si>
  <si>
    <t>OFF-EN-10001443</t>
  </si>
  <si>
    <t>Jiffy Business Envelopes, Recycled</t>
  </si>
  <si>
    <t>US-2011-165477</t>
  </si>
  <si>
    <t>Shirley Daniels</t>
  </si>
  <si>
    <t>OFF-LA-10003459</t>
  </si>
  <si>
    <t>Avery Removable Labels, Laser Printer Compatible</t>
  </si>
  <si>
    <t>CA-2012-164427</t>
  </si>
  <si>
    <t>Allen Rosenblatt</t>
  </si>
  <si>
    <t>Mississippi</t>
  </si>
  <si>
    <t>TEC-AC-10004469</t>
  </si>
  <si>
    <t>Microsoft Sculpt Comfort Mouse</t>
  </si>
  <si>
    <t>CA-2012-124891</t>
  </si>
  <si>
    <t>OFF-PA-10004621</t>
  </si>
  <si>
    <t>Xerox 212</t>
  </si>
  <si>
    <t>IT-2013-1537853</t>
  </si>
  <si>
    <t>Michael Moore</t>
  </si>
  <si>
    <t>FUR-BO-10004824</t>
  </si>
  <si>
    <t>Safco Stackable Bookrack, Traditional</t>
  </si>
  <si>
    <t>US-2011-114965</t>
  </si>
  <si>
    <t>OFF-AR-10003897</t>
  </si>
  <si>
    <t>Stanley Pencil Sharpener, Water Color</t>
  </si>
  <si>
    <t>MO-2012-2390</t>
  </si>
  <si>
    <t>Evan Bailliet</t>
  </si>
  <si>
    <t>OFF-BIN-10002061</t>
  </si>
  <si>
    <t>Binney &amp; Smith Sketch Pad, Blue</t>
  </si>
  <si>
    <t>MX-2013-141159</t>
  </si>
  <si>
    <t>Rick Huthwaite</t>
  </si>
  <si>
    <t>YucatÃ¡n</t>
  </si>
  <si>
    <t>OFF-AP-10004227</t>
  </si>
  <si>
    <t>Hamilton Beach Refrigerator, White</t>
  </si>
  <si>
    <t>ES-2013-1253344</t>
  </si>
  <si>
    <t>OFF-SU-10003209</t>
  </si>
  <si>
    <t>Elite Scissors, Easy Grip</t>
  </si>
  <si>
    <t>ES-2012-5100288</t>
  </si>
  <si>
    <t>Oslo</t>
  </si>
  <si>
    <t>Norway</t>
  </si>
  <si>
    <t>OFF-LA-10004132</t>
  </si>
  <si>
    <t>MX-2012-158925</t>
  </si>
  <si>
    <t>Jeremy Farry</t>
  </si>
  <si>
    <t>FUR-BO-10002471</t>
  </si>
  <si>
    <t>Safco 3-Shelf Cabinet, Metal</t>
  </si>
  <si>
    <t>IT-2014-5137649</t>
  </si>
  <si>
    <t>Limburg</t>
  </si>
  <si>
    <t>TEC-PH-10000956</t>
  </si>
  <si>
    <t>Motorola Speaker Phone, with Caller ID</t>
  </si>
  <si>
    <t>IT-2014-5707545</t>
  </si>
  <si>
    <t>TEC-AC-10003343</t>
  </si>
  <si>
    <t>Logitech Flash Drive, Erganomic</t>
  </si>
  <si>
    <t>ES-2013-3167494</t>
  </si>
  <si>
    <t>OFF-AR-10002805</t>
  </si>
  <si>
    <t>Boston Sketch Pad, Blue</t>
  </si>
  <si>
    <t>NI-2014-3890</t>
  </si>
  <si>
    <t>OFF-SAN-10004288</t>
  </si>
  <si>
    <t>CA-2011-143903</t>
  </si>
  <si>
    <t>Katherine Murray</t>
  </si>
  <si>
    <t>FUR-CH-10002024</t>
  </si>
  <si>
    <t>HON 5400 Series Task Chairs for Big and Tall</t>
  </si>
  <si>
    <t>TZ-2012-220</t>
  </si>
  <si>
    <t>MX-2011-103345</t>
  </si>
  <si>
    <t>TEC-CO-10003694</t>
  </si>
  <si>
    <t>Brother Wireless Fax, Color</t>
  </si>
  <si>
    <t>IN-2012-13037</t>
  </si>
  <si>
    <t>Haryana</t>
  </si>
  <si>
    <t>OFF-PA-10001835</t>
  </si>
  <si>
    <t>SanDisk Computer Printout Paper, 8.5 x 11</t>
  </si>
  <si>
    <t>IN-2013-64368</t>
  </si>
  <si>
    <t>MX-2013-153094</t>
  </si>
  <si>
    <t>Ivan Liston</t>
  </si>
  <si>
    <t>FUR-CH-10002653</t>
  </si>
  <si>
    <t>Office Star Rocking Chair, Adjustable</t>
  </si>
  <si>
    <t>ZA-2012-3540</t>
  </si>
  <si>
    <t>Copperbelt</t>
  </si>
  <si>
    <t>OFF-IBI-10003422</t>
  </si>
  <si>
    <t>Ibico Binder, Durable</t>
  </si>
  <si>
    <t>US-2011-124310</t>
  </si>
  <si>
    <t>Harold Engle</t>
  </si>
  <si>
    <t>Rio de Janeiro</t>
  </si>
  <si>
    <t>OFF-SU-10000113</t>
  </si>
  <si>
    <t>Acme Shears, Easy Grip</t>
  </si>
  <si>
    <t>NI-2012-1930</t>
  </si>
  <si>
    <t>OFF-SME-10002740</t>
  </si>
  <si>
    <t>Smead Lockers, Single Width</t>
  </si>
  <si>
    <t>US-2011-112984</t>
  </si>
  <si>
    <t>Francisco MorazÃ¡n</t>
  </si>
  <si>
    <t>IN-2013-24762</t>
  </si>
  <si>
    <t>Alejandro Ballentine</t>
  </si>
  <si>
    <t>TEC-AC-10004704</t>
  </si>
  <si>
    <t>SanDisk Numeric Keypad, USB</t>
  </si>
  <si>
    <t>US-2014-136868</t>
  </si>
  <si>
    <t>Cyra Reiten</t>
  </si>
  <si>
    <t>OFF-PA-10002377</t>
  </si>
  <si>
    <t>Adams Telephone Message Book W/Dividers/Space For Phone Numbers, 5 1/4"X8 1/2", 200/Messages</t>
  </si>
  <si>
    <t>IN-2013-26659</t>
  </si>
  <si>
    <t>Ann Blume</t>
  </si>
  <si>
    <t>FUR-BO-10004529</t>
  </si>
  <si>
    <t>Sauder 3-Shelf Cabinet, Pine</t>
  </si>
  <si>
    <t>CA-2014-100013</t>
  </si>
  <si>
    <t>Zuschuss Carroll</t>
  </si>
  <si>
    <t>ES-2012-1439531</t>
  </si>
  <si>
    <t>Duane Benoit</t>
  </si>
  <si>
    <t>OFF-AP-10003184</t>
  </si>
  <si>
    <t>KitchenAid Stove, Silver</t>
  </si>
  <si>
    <t>IN-2012-19043</t>
  </si>
  <si>
    <t>Jennifer Halladay</t>
  </si>
  <si>
    <t>T?nh C?n Th?</t>
  </si>
  <si>
    <t>OFF-FA-10004545</t>
  </si>
  <si>
    <t>Stockwell Push Pins, Metal</t>
  </si>
  <si>
    <t>ID-2013-49248</t>
  </si>
  <si>
    <t>Cari MacIntyre</t>
  </si>
  <si>
    <t>OFF-ST-10001534</t>
  </si>
  <si>
    <t>RO-2014-7230</t>
  </si>
  <si>
    <t>Art Foster</t>
  </si>
  <si>
    <t>Buzau</t>
  </si>
  <si>
    <t>OFF-SAN-10001074</t>
  </si>
  <si>
    <t>SanDisk Message Books, Premium</t>
  </si>
  <si>
    <t>MX-2014-121986</t>
  </si>
  <si>
    <t>Parana</t>
  </si>
  <si>
    <t>OFF-SU-10003082</t>
  </si>
  <si>
    <t>Acme Box Cutter, Easy Grip</t>
  </si>
  <si>
    <t>IN-2014-78802</t>
  </si>
  <si>
    <t>Bangkok</t>
  </si>
  <si>
    <t>Thailand</t>
  </si>
  <si>
    <t>TEC-AC-10000332</t>
  </si>
  <si>
    <t>Logitech Keyboard, USB</t>
  </si>
  <si>
    <t>MA-2013-870</t>
  </si>
  <si>
    <t>Nora Preis</t>
  </si>
  <si>
    <t>Analamanga</t>
  </si>
  <si>
    <t>Madagascar</t>
  </si>
  <si>
    <t>OFF-BIN-10003023</t>
  </si>
  <si>
    <t>Binney &amp; Smith Sketch Pad, Fluorescent</t>
  </si>
  <si>
    <t>MX-2012-119641</t>
  </si>
  <si>
    <t>Fred Chung</t>
  </si>
  <si>
    <t>OFF-LA-10002068</t>
  </si>
  <si>
    <t>Smead Removable Labels, Adjustable</t>
  </si>
  <si>
    <t>ES-2011-1656997</t>
  </si>
  <si>
    <t>Nick Zandusky</t>
  </si>
  <si>
    <t>IN-2012-44705</t>
  </si>
  <si>
    <t>Elpida Rittenbach</t>
  </si>
  <si>
    <t>US-2013-168095</t>
  </si>
  <si>
    <t>Mark Cousins</t>
  </si>
  <si>
    <t>Oregon</t>
  </si>
  <si>
    <t>FUR-CH-10004886</t>
  </si>
  <si>
    <t>Bevis Steel Folding Chairs</t>
  </si>
  <si>
    <t>ES-2014-4451711</t>
  </si>
  <si>
    <t>Clay Rozendal</t>
  </si>
  <si>
    <t>OFF-LA-10001284</t>
  </si>
  <si>
    <t>Smead Round Labels, 5000 Label Set</t>
  </si>
  <si>
    <t>ES-2014-1808409</t>
  </si>
  <si>
    <t>Jamie Kunitz</t>
  </si>
  <si>
    <t>TEC-CO-10000178</t>
  </si>
  <si>
    <t>Hewlett Ink, Laser</t>
  </si>
  <si>
    <t>US-2011-144729</t>
  </si>
  <si>
    <t>Saphhira Shifley</t>
  </si>
  <si>
    <t>TEC-PH-10004287</t>
  </si>
  <si>
    <t>Cisco Headset, Cordless</t>
  </si>
  <si>
    <t>IN-2014-82652</t>
  </si>
  <si>
    <t>Becky Martin</t>
  </si>
  <si>
    <t>OFF-SU-10001488</t>
  </si>
  <si>
    <t>Stiletto Scissors, Steel</t>
  </si>
  <si>
    <t>IN-2012-85480</t>
  </si>
  <si>
    <t>Cindy Schnelling</t>
  </si>
  <si>
    <t>Bay of Plenty</t>
  </si>
  <si>
    <t>FUR-BO-10000021</t>
  </si>
  <si>
    <t>Dania Corner Shelving, Metal</t>
  </si>
  <si>
    <t>CA-2012-140025</t>
  </si>
  <si>
    <t>Peter Fuller</t>
  </si>
  <si>
    <t>TEC-AC-10002402</t>
  </si>
  <si>
    <t>Razer Kraken PRO Over Ear PC and Music Headset</t>
  </si>
  <si>
    <t>ES-2012-3208808</t>
  </si>
  <si>
    <t>Sally Knutson</t>
  </si>
  <si>
    <t>CA-2013-144855</t>
  </si>
  <si>
    <t>Dionis Lloyd</t>
  </si>
  <si>
    <t>OFF-LA-10003766</t>
  </si>
  <si>
    <t>Self-Adhesive Removable Labels</t>
  </si>
  <si>
    <t>MX-2012-122273</t>
  </si>
  <si>
    <t>Craig Reiter</t>
  </si>
  <si>
    <t>FUR-CH-10002088</t>
  </si>
  <si>
    <t>Novimex Steel Folding Chair, Set of Two</t>
  </si>
  <si>
    <t>CG-2014-870</t>
  </si>
  <si>
    <t>Anne McFarland</t>
  </si>
  <si>
    <t>OFF-BIC-10001211</t>
  </si>
  <si>
    <t>BIC Highlighters, Water Color</t>
  </si>
  <si>
    <t>IN-2013-46896</t>
  </si>
  <si>
    <t>Western</t>
  </si>
  <si>
    <t>Sri Lanka</t>
  </si>
  <si>
    <t>IT-2012-2197138</t>
  </si>
  <si>
    <t>TEC-CO-10002686</t>
  </si>
  <si>
    <t>Hewlett Fax Machine, Laser</t>
  </si>
  <si>
    <t>UZ-2011-8840</t>
  </si>
  <si>
    <t>OFF-ELD-10001037</t>
  </si>
  <si>
    <t>ID-2011-21402</t>
  </si>
  <si>
    <t>FUR-CH-10001695</t>
  </si>
  <si>
    <t>Harbour Creations Chairmat, Set of Two</t>
  </si>
  <si>
    <t>CA-2013-120180</t>
  </si>
  <si>
    <t>OFF-SU-10004115</t>
  </si>
  <si>
    <t>Acme Stainless Steel Office Snips</t>
  </si>
  <si>
    <t>US-2011-150406</t>
  </si>
  <si>
    <t>MaranhÃ£o</t>
  </si>
  <si>
    <t>FUR-BO-10000517</t>
  </si>
  <si>
    <t>Ikea Stackable Bookrack, Metal</t>
  </si>
  <si>
    <t>ID-2011-17286</t>
  </si>
  <si>
    <t>Charlotte Melton</t>
  </si>
  <si>
    <t>MX-2014-112431</t>
  </si>
  <si>
    <t>Greg Maxwell</t>
  </si>
  <si>
    <t>OFF-SU-10000979</t>
  </si>
  <si>
    <t>CA-2011-117464</t>
  </si>
  <si>
    <t>FUR-TA-10004767</t>
  </si>
  <si>
    <t>Safco Drafting Table</t>
  </si>
  <si>
    <t>ES-2014-5119760</t>
  </si>
  <si>
    <t>Alex Grayson</t>
  </si>
  <si>
    <t>OFF-SU-10000906</t>
  </si>
  <si>
    <t>Fiskars Shears, High Speed</t>
  </si>
  <si>
    <t>CA-2012-160472</t>
  </si>
  <si>
    <t>OFF-PA-10000528</t>
  </si>
  <si>
    <t>Xerox 1981</t>
  </si>
  <si>
    <t>IN-2013-31825</t>
  </si>
  <si>
    <t>FUR-CH-10002932</t>
  </si>
  <si>
    <t>IN-2012-46560</t>
  </si>
  <si>
    <t>Sam Zeldin</t>
  </si>
  <si>
    <t>TEC-MA-10001360</t>
  </si>
  <si>
    <t>Okidata Receipt Printer, White</t>
  </si>
  <si>
    <t>IN-2014-48982</t>
  </si>
  <si>
    <t>TEC-AC-10000596</t>
  </si>
  <si>
    <t>Enermax Memory Card, Erganomic</t>
  </si>
  <si>
    <t>IT-2014-1555885</t>
  </si>
  <si>
    <t>Sean Miller</t>
  </si>
  <si>
    <t>Stockholm</t>
  </si>
  <si>
    <t>Sweden</t>
  </si>
  <si>
    <t>OFF-AR-10001110</t>
  </si>
  <si>
    <t>BIC Pencil Sharpener, Water Color</t>
  </si>
  <si>
    <t>CA-2012-146255</t>
  </si>
  <si>
    <t>OFF-BI-10001765</t>
  </si>
  <si>
    <t>Wilson Jones Heavy-Duty Casebound Ring Binders with Metal Hinges</t>
  </si>
  <si>
    <t>MX-2013-102092</t>
  </si>
  <si>
    <t>OFF-BI-10002455</t>
  </si>
  <si>
    <t>Acco 3-Hole Punch, Durable</t>
  </si>
  <si>
    <t>CA-2014-107720</t>
  </si>
  <si>
    <t>Valerie Mitchum</t>
  </si>
  <si>
    <t>New Jersey</t>
  </si>
  <si>
    <t>OFF-ST-10001414</t>
  </si>
  <si>
    <t>Decoflex Hanging Personal Folder File</t>
  </si>
  <si>
    <t>ES-2012-3596491</t>
  </si>
  <si>
    <t>Janet Molinari</t>
  </si>
  <si>
    <t>Alsace</t>
  </si>
  <si>
    <t>OFF-BI-10003708</t>
  </si>
  <si>
    <t>Cardinal Binder, Recycled</t>
  </si>
  <si>
    <t>MX-2013-123463</t>
  </si>
  <si>
    <t>Frank Carlisle</t>
  </si>
  <si>
    <t>Santander</t>
  </si>
  <si>
    <t>OFF-PA-10004190</t>
  </si>
  <si>
    <t>Xerox Note Cards, Multicolor</t>
  </si>
  <si>
    <t>KZ-2014-6760</t>
  </si>
  <si>
    <t>Christina VanderZanden</t>
  </si>
  <si>
    <t>Astana</t>
  </si>
  <si>
    <t>OFF-BOS-10003699</t>
  </si>
  <si>
    <t>Boston Sketch Pad, Fluorescent</t>
  </si>
  <si>
    <t>CA-2011-117765</t>
  </si>
  <si>
    <t>OFF-BI-10000474</t>
  </si>
  <si>
    <t>Avery Recycled Flexi-View Covers for Binding Systems</t>
  </si>
  <si>
    <t>MX-2012-114251</t>
  </si>
  <si>
    <t>OFF-ST-10004754</t>
  </si>
  <si>
    <t>ES-2014-5117456</t>
  </si>
  <si>
    <t>Gary Hansen</t>
  </si>
  <si>
    <t>Vienna</t>
  </si>
  <si>
    <t>Austria</t>
  </si>
  <si>
    <t>Eldon Photo Frame, Durable</t>
  </si>
  <si>
    <t>ES-2012-5954014</t>
  </si>
  <si>
    <t>Astrea Jones</t>
  </si>
  <si>
    <t>FUR-FU-10002919</t>
  </si>
  <si>
    <t>Rubbermaid Frame, Erganomic</t>
  </si>
  <si>
    <t>ES-2013-1521931</t>
  </si>
  <si>
    <t>TEC-AC-10002122</t>
  </si>
  <si>
    <t>TU-2014-950</t>
  </si>
  <si>
    <t>OFF-ENE-10002104</t>
  </si>
  <si>
    <t>Enermax Note Cards, Premium</t>
  </si>
  <si>
    <t>CA-2012-8480</t>
  </si>
  <si>
    <t>British Columbia</t>
  </si>
  <si>
    <t>FUR-HON-10003533</t>
  </si>
  <si>
    <t>Hon Executive Leather Armchair, Adjustable</t>
  </si>
  <si>
    <t>TU-2013-1120</t>
  </si>
  <si>
    <t>OFF-STA-10004108</t>
  </si>
  <si>
    <t>Stanley Canvas, Easy-Erase</t>
  </si>
  <si>
    <t>ES-2014-2638373</t>
  </si>
  <si>
    <t>Jenna Caffey</t>
  </si>
  <si>
    <t>TEC-CO-10001191</t>
  </si>
  <si>
    <t>Sharp Wireless Fax, High-Speed</t>
  </si>
  <si>
    <t>MX-2014-137204</t>
  </si>
  <si>
    <t>Mitch Willingham</t>
  </si>
  <si>
    <t>Saint Catherine</t>
  </si>
  <si>
    <t>Jamaica</t>
  </si>
  <si>
    <t>TEC-PH-10003215</t>
  </si>
  <si>
    <t>Samsung Headset, Full Size</t>
  </si>
  <si>
    <t>IN-2013-74329</t>
  </si>
  <si>
    <t>IN-2011-42759</t>
  </si>
  <si>
    <t>TEC-PH-10001428</t>
  </si>
  <si>
    <t>MX-2014-131765</t>
  </si>
  <si>
    <t>Peter BÃ¼hler</t>
  </si>
  <si>
    <t>Antioquia</t>
  </si>
  <si>
    <t>TEC-AC-10002015</t>
  </si>
  <si>
    <t>Logitech Router, Programmable</t>
  </si>
  <si>
    <t>UG-2013-9250</t>
  </si>
  <si>
    <t>Ricardo Emerson</t>
  </si>
  <si>
    <t>Kabarole</t>
  </si>
  <si>
    <t>Uganda</t>
  </si>
  <si>
    <t>OFF-CAM-10001761</t>
  </si>
  <si>
    <t>Cameo Clasp Envelope, Security-Tint</t>
  </si>
  <si>
    <t>IN-2014-67238</t>
  </si>
  <si>
    <t>Shahid Hopkins</t>
  </si>
  <si>
    <t>FUR-CH-10002117</t>
  </si>
  <si>
    <t>Hon Steel Folding Chair, Red</t>
  </si>
  <si>
    <t>TU-2012-1970</t>
  </si>
  <si>
    <t>OFF-BIC-10002403</t>
  </si>
  <si>
    <t>BIC Sketch Pad, Easy-Erase</t>
  </si>
  <si>
    <t>MX-2014-112760</t>
  </si>
  <si>
    <t>Cienfuegos</t>
  </si>
  <si>
    <t>OFF-PA-10000362</t>
  </si>
  <si>
    <t>ID-2011-66475</t>
  </si>
  <si>
    <t>Brendan Murry</t>
  </si>
  <si>
    <t>FUR-TA-10001494</t>
  </si>
  <si>
    <t>Lesro Wood Table, Adjustable Height</t>
  </si>
  <si>
    <t>CA-2014-129021</t>
  </si>
  <si>
    <t>Patrick O'Brill</t>
  </si>
  <si>
    <t>TEC-PH-10001459</t>
  </si>
  <si>
    <t>Samsung Galaxy Mega 6.3</t>
  </si>
  <si>
    <t>ES-2014-5091205</t>
  </si>
  <si>
    <t>OFF-BI-10003705</t>
  </si>
  <si>
    <t>Wilson Jones Binding Machine, Recycled</t>
  </si>
  <si>
    <t>MX-2013-102694</t>
  </si>
  <si>
    <t>Joy Smith</t>
  </si>
  <si>
    <t>TEC-AC-10003159</t>
  </si>
  <si>
    <t>SanDisk Router, USB</t>
  </si>
  <si>
    <t>ES-2013-4827951</t>
  </si>
  <si>
    <t>Philip Fox</t>
  </si>
  <si>
    <t>FUR-TA-10004634</t>
  </si>
  <si>
    <t>Bevis Training Table, Adjustable Height</t>
  </si>
  <si>
    <t>IN-2011-12043</t>
  </si>
  <si>
    <t>Cari Sayre</t>
  </si>
  <si>
    <t>Fujian</t>
  </si>
  <si>
    <t>OFF-EN-10000645</t>
  </si>
  <si>
    <t>Ames Mailers, Recycled</t>
  </si>
  <si>
    <t>ID-2011-76520</t>
  </si>
  <si>
    <t>Ricardo Sperren</t>
  </si>
  <si>
    <t>OFF-FA-10002177</t>
  </si>
  <si>
    <t>OIC Clamps, Metal</t>
  </si>
  <si>
    <t>ES-2012-5515506</t>
  </si>
  <si>
    <t>OFF-BI-10000542</t>
  </si>
  <si>
    <t>Wilson Jones 3-Hole Punch, Durable</t>
  </si>
  <si>
    <t>PL-2012-7820</t>
  </si>
  <si>
    <t>FUR-HON-10000224</t>
  </si>
  <si>
    <t>Hon Computer Table, with Bottom Storage</t>
  </si>
  <si>
    <t>US-2013-106313</t>
  </si>
  <si>
    <t>Deirdre Greer</t>
  </si>
  <si>
    <t>OFF-PA-10001870</t>
  </si>
  <si>
    <t>Xerox 202</t>
  </si>
  <si>
    <t>NI-2014-1900</t>
  </si>
  <si>
    <t>FUR-DEF-10000065</t>
  </si>
  <si>
    <t>Deflect-O Frame, Durable</t>
  </si>
  <si>
    <t>IN-2014-85417</t>
  </si>
  <si>
    <t>Heather Kirkland</t>
  </si>
  <si>
    <t>OFF-ST-10004794</t>
  </si>
  <si>
    <t>Rogers Shelving, Blue</t>
  </si>
  <si>
    <t>NI-2013-6450</t>
  </si>
  <si>
    <t>Benue</t>
  </si>
  <si>
    <t>OFF-HAR-10003659</t>
  </si>
  <si>
    <t>Harbour Creations Color Coded Labels, Adjustable</t>
  </si>
  <si>
    <t>CA-2012-164007</t>
  </si>
  <si>
    <t>OFF-AP-10003849</t>
  </si>
  <si>
    <t>Hoover Shoulder Vac Commercial Portable Vacuum</t>
  </si>
  <si>
    <t>US-2013-141544</t>
  </si>
  <si>
    <t>TEC-PH-10003645</t>
  </si>
  <si>
    <t>Aastra 57i VoIP phone</t>
  </si>
  <si>
    <t>US-2013-117793</t>
  </si>
  <si>
    <t>Wisconsin</t>
  </si>
  <si>
    <t>OFF-LA-10003537</t>
  </si>
  <si>
    <t>Avery 515</t>
  </si>
  <si>
    <t>TU-2011-750</t>
  </si>
  <si>
    <t>FUR-RUB-10004285</t>
  </si>
  <si>
    <t>Rubbermaid Clock, Duo Pack</t>
  </si>
  <si>
    <t>CA-2013-123414</t>
  </si>
  <si>
    <t>Stephanie Ulpright</t>
  </si>
  <si>
    <t>OFF-LA-10004559</t>
  </si>
  <si>
    <t>Avery 49</t>
  </si>
  <si>
    <t>OFF-LA-10002199</t>
  </si>
  <si>
    <t>IT-2014-4483445</t>
  </si>
  <si>
    <t>Andrew Gjertsen</t>
  </si>
  <si>
    <t>OFF-BI-10002128</t>
  </si>
  <si>
    <t>Acco Binder Covers, Durable</t>
  </si>
  <si>
    <t>ID-2014-55338</t>
  </si>
  <si>
    <t>Jane Waco</t>
  </si>
  <si>
    <t>MX-2013-157735</t>
  </si>
  <si>
    <t>Ken Dana</t>
  </si>
  <si>
    <t>Matanzas</t>
  </si>
  <si>
    <t>FUR-CH-10001455</t>
  </si>
  <si>
    <t>Office Star Swivel Stool, Adjustable</t>
  </si>
  <si>
    <t>ES-2013-4147391</t>
  </si>
  <si>
    <t>TEC-CO-10000967</t>
  </si>
  <si>
    <t>HP Fax Machine, Laser</t>
  </si>
  <si>
    <t>CA-2012-164441</t>
  </si>
  <si>
    <t>Amy Cox</t>
  </si>
  <si>
    <t>OFF-PA-10001667</t>
  </si>
  <si>
    <t>Great White Multi-Use Recycled Paper (20Lb. and 84 Bright)</t>
  </si>
  <si>
    <t>IN-2012-83254</t>
  </si>
  <si>
    <t>Waikato</t>
  </si>
  <si>
    <t>OFF-SU-10004589</t>
  </si>
  <si>
    <t>Elite Shears, Serrated</t>
  </si>
  <si>
    <t>EG-2013-2110</t>
  </si>
  <si>
    <t>Al Gharbiyah</t>
  </si>
  <si>
    <t>ID-2014-42388</t>
  </si>
  <si>
    <t>OFF-AP-10002960</t>
  </si>
  <si>
    <t>Hamilton Beach Toaster, Black</t>
  </si>
  <si>
    <t>IN-2011-69443</t>
  </si>
  <si>
    <t>OFF-BI-10000089</t>
  </si>
  <si>
    <t>Wilson Jones 3-Hole Punch, Recycled</t>
  </si>
  <si>
    <t>ES-2012-2396725</t>
  </si>
  <si>
    <t>TEC-AC-10000863</t>
  </si>
  <si>
    <t>Enermax Numeric Keypad, Erganomic</t>
  </si>
  <si>
    <t>TU-2014-3270</t>
  </si>
  <si>
    <t>Batman</t>
  </si>
  <si>
    <t>TEC-MEM-10001732</t>
  </si>
  <si>
    <t>Memorex Numeric Keypad, USB</t>
  </si>
  <si>
    <t>ES-2011-4801998</t>
  </si>
  <si>
    <t>Nord-Pas-de-Calais</t>
  </si>
  <si>
    <t>OFF-SU-10000877</t>
  </si>
  <si>
    <t>Acme Scissors, Easy Grip</t>
  </si>
  <si>
    <t>US-2011-115987</t>
  </si>
  <si>
    <t>Lisa Hazard</t>
  </si>
  <si>
    <t>OFF-BI-10001071</t>
  </si>
  <si>
    <t>GBC ProClick Punch Binding System</t>
  </si>
  <si>
    <t>CA-2013-105585</t>
  </si>
  <si>
    <t>Roland Fjeld</t>
  </si>
  <si>
    <t>OFF-PA-10003625</t>
  </si>
  <si>
    <t>Xerox 1979</t>
  </si>
  <si>
    <t>CA-2014-146920</t>
  </si>
  <si>
    <t>Xerox 4200 Series MultiUse Premium Copy Paper (20Lb. and 84 Bright)</t>
  </si>
  <si>
    <t>NI-2011-9240</t>
  </si>
  <si>
    <t>Corey-Lock</t>
  </si>
  <si>
    <t>FUR-BUS-10001876</t>
  </si>
  <si>
    <t>Bush 3-Shelf Cabinet, Pine</t>
  </si>
  <si>
    <t>ES-2011-5335590</t>
  </si>
  <si>
    <t>Picardy</t>
  </si>
  <si>
    <t>OFF-ST-10001025</t>
  </si>
  <si>
    <t>Tenex Trays, Single Width</t>
  </si>
  <si>
    <t>GG-2011-3530</t>
  </si>
  <si>
    <t>Tbilisi</t>
  </si>
  <si>
    <t>FUR-RUB-10002507</t>
  </si>
  <si>
    <t>Rubbermaid Stacking Tray, Black</t>
  </si>
  <si>
    <t>CA-2013-147585</t>
  </si>
  <si>
    <t>FUR-FU-10002597</t>
  </si>
  <si>
    <t>C-Line Magnetic Cubicle Keepers, Clear Polypropylene</t>
  </si>
  <si>
    <t>US-2011-122385</t>
  </si>
  <si>
    <t>James Galang</t>
  </si>
  <si>
    <t>OFF-AR-10003096</t>
  </si>
  <si>
    <t>US-2011-115413</t>
  </si>
  <si>
    <t>TEC-AC-10002800</t>
  </si>
  <si>
    <t>Plantronics Audio 478 Stereo USB Headset</t>
  </si>
  <si>
    <t>ES-2012-2740636</t>
  </si>
  <si>
    <t>Roy FranzÃ¶sisch</t>
  </si>
  <si>
    <t>Antwerp</t>
  </si>
  <si>
    <t>Belgium</t>
  </si>
  <si>
    <t>FUR-BO-10001256</t>
  </si>
  <si>
    <t>Ikea Corner Shelving, Pine</t>
  </si>
  <si>
    <t>ES-2011-2972550</t>
  </si>
  <si>
    <t>Calabria</t>
  </si>
  <si>
    <t>OFF-BI-10004233</t>
  </si>
  <si>
    <t>IN-2014-24951</t>
  </si>
  <si>
    <t>Liaoning</t>
  </si>
  <si>
    <t>ES-2014-4554406</t>
  </si>
  <si>
    <t>IT-2012-2825037</t>
  </si>
  <si>
    <t>Tom Ashbrook</t>
  </si>
  <si>
    <t>Saxony</t>
  </si>
  <si>
    <t>OFF-LA-10004753</t>
  </si>
  <si>
    <t>Novimex Round Labels, Laser Printer Compatible</t>
  </si>
  <si>
    <t>US-2014-149048</t>
  </si>
  <si>
    <t>FUR-CH-10002374</t>
  </si>
  <si>
    <t>SAFCO Bag Chairs, Black</t>
  </si>
  <si>
    <t>US-2011-103933</t>
  </si>
  <si>
    <t>Khloe Miller</t>
  </si>
  <si>
    <t>OFF-LA-10000190</t>
  </si>
  <si>
    <t>CA-2011-124737</t>
  </si>
  <si>
    <t>Arthur Prichep</t>
  </si>
  <si>
    <t>FUR-FU-10003274</t>
  </si>
  <si>
    <t>Regeneration Desk Collection</t>
  </si>
  <si>
    <t>ID-2014-77710</t>
  </si>
  <si>
    <t>Victoria Brennan</t>
  </si>
  <si>
    <t>FUR-CH-10002412</t>
  </si>
  <si>
    <t>ES-2013-4777583</t>
  </si>
  <si>
    <t>FUR-BO-10003697</t>
  </si>
  <si>
    <t>Safco Floating Shelf Set, Mobile</t>
  </si>
  <si>
    <t>US-2014-101651</t>
  </si>
  <si>
    <t>Steve Chapman</t>
  </si>
  <si>
    <t>Santa Fe</t>
  </si>
  <si>
    <t>FUR-BO-10001781</t>
  </si>
  <si>
    <t>Bush Library with Doors, Traditional</t>
  </si>
  <si>
    <t>IN-2013-55135</t>
  </si>
  <si>
    <t>Aichi</t>
  </si>
  <si>
    <t>ID-2013-19960</t>
  </si>
  <si>
    <t>Larry Tron</t>
  </si>
  <si>
    <t>TEC-CO-10003354</t>
  </si>
  <si>
    <t>Brother Fax Machine, Laser</t>
  </si>
  <si>
    <t>MX-2014-159779</t>
  </si>
  <si>
    <t>Ciego de Ãvila</t>
  </si>
  <si>
    <t>OFF-SU-10001722</t>
  </si>
  <si>
    <t>Stiletto Box Cutter, Easy Grip</t>
  </si>
  <si>
    <t>ID-2014-85851</t>
  </si>
  <si>
    <t>Mike Gockenbach</t>
  </si>
  <si>
    <t>OFF-AP-10004499</t>
  </si>
  <si>
    <t>Cuisinart Stove, Red</t>
  </si>
  <si>
    <t>TU-2012-60</t>
  </si>
  <si>
    <t>Henia Zydlo</t>
  </si>
  <si>
    <t>Amasya</t>
  </si>
  <si>
    <t>OFF-KRA-10002789</t>
  </si>
  <si>
    <t>Kraft Peel and Seal, with clear poly window</t>
  </si>
  <si>
    <t>CA-2013-155670</t>
  </si>
  <si>
    <t>OFF-PA-10004947</t>
  </si>
  <si>
    <t>CA-2012-107902</t>
  </si>
  <si>
    <t>OFF-ST-10001837</t>
  </si>
  <si>
    <t>SAFCO Mobile Desk Side File, Wire Frame</t>
  </si>
  <si>
    <t>MX-2014-104486</t>
  </si>
  <si>
    <t>OFF-LA-10002401</t>
  </si>
  <si>
    <t>Avery Shipping Labels, Laser Printer Compatible</t>
  </si>
  <si>
    <t>RS-2011-6190</t>
  </si>
  <si>
    <t>Dagestan</t>
  </si>
  <si>
    <t>OFF-SAN-10003687</t>
  </si>
  <si>
    <t>Sanford Sketch Pad, Easy-Erase</t>
  </si>
  <si>
    <t>IN-2011-67028</t>
  </si>
  <si>
    <t>David Kendrick</t>
  </si>
  <si>
    <t>TEC-PH-10000365</t>
  </si>
  <si>
    <t>Cisco Office Telephone, with Caller ID</t>
  </si>
  <si>
    <t>ES-2014-3688258</t>
  </si>
  <si>
    <t>Hovedstaden</t>
  </si>
  <si>
    <t>Denmark</t>
  </si>
  <si>
    <t>TEC-AC-10003920</t>
  </si>
  <si>
    <t>Belkin Keyboard, Bluetooth</t>
  </si>
  <si>
    <t>US-2014-103828</t>
  </si>
  <si>
    <t>OFF-AP-10004249</t>
  </si>
  <si>
    <t>IN-2011-71060</t>
  </si>
  <si>
    <t>OFF-SU-10001535</t>
  </si>
  <si>
    <t>Elite Box Cutter, High Speed</t>
  </si>
  <si>
    <t>CA-2011-163293</t>
  </si>
  <si>
    <t>TEC-AC-10000023</t>
  </si>
  <si>
    <t>Maxell 74 Minute CD-R Spindle, 50/Pack</t>
  </si>
  <si>
    <t>ES-2013-3561047</t>
  </si>
  <si>
    <t>Mike Pelletier</t>
  </si>
  <si>
    <t>OFF-AR-10003028</t>
  </si>
  <si>
    <t>ES-2012-5016521</t>
  </si>
  <si>
    <t>OFF-LA-10001299</t>
  </si>
  <si>
    <t>Avery File Folder Labels, Adjustable</t>
  </si>
  <si>
    <t>IT-2014-2448536</t>
  </si>
  <si>
    <t>Overijssel</t>
  </si>
  <si>
    <t>OFF-BI-10000880</t>
  </si>
  <si>
    <t>Wilson Jones Binder, Recycled</t>
  </si>
  <si>
    <t>MX-2014-166254</t>
  </si>
  <si>
    <t>Yana Sorensen</t>
  </si>
  <si>
    <t>OFF-PA-10000752</t>
  </si>
  <si>
    <t>CA-2012-121188</t>
  </si>
  <si>
    <t>Cassandra Brandow</t>
  </si>
  <si>
    <t>OFF-ST-10000736</t>
  </si>
  <si>
    <t>Carina Double Wide Media Storage Towers in Natural &amp; Black</t>
  </si>
  <si>
    <t>ES-2014-1113356</t>
  </si>
  <si>
    <t>FUR-CH-10002819</t>
  </si>
  <si>
    <t>SAFCO Chairmat, Red</t>
  </si>
  <si>
    <t>ID-2012-74630</t>
  </si>
  <si>
    <t>Gyeongsangnam</t>
  </si>
  <si>
    <t>South Korea</t>
  </si>
  <si>
    <t>OFF-AR-10003774</t>
  </si>
  <si>
    <t>Stanley Sketch Pad, Fluorescent</t>
  </si>
  <si>
    <t>MX-2013-157665</t>
  </si>
  <si>
    <t>Allen Goldenen</t>
  </si>
  <si>
    <t>FUR-BO-10002975</t>
  </si>
  <si>
    <t>Dania Stackable Bookrack, Traditional</t>
  </si>
  <si>
    <t>ES-2012-5642589</t>
  </si>
  <si>
    <t>OFF-BI-10003774</t>
  </si>
  <si>
    <t>Cardinal 3-Hole Punch, Durable</t>
  </si>
  <si>
    <t>ES-2011-1647523</t>
  </si>
  <si>
    <t>Thomas Thornton</t>
  </si>
  <si>
    <t>OFF-AP-10002128</t>
  </si>
  <si>
    <t>Hoover Blender, Black</t>
  </si>
  <si>
    <t>US-2013-123078</t>
  </si>
  <si>
    <t>OFF-SU-10002599</t>
  </si>
  <si>
    <t>Stiletto Letter Opener, Easy Grip</t>
  </si>
  <si>
    <t>MX-2013-132801</t>
  </si>
  <si>
    <t>Puebla</t>
  </si>
  <si>
    <t>OFF-BI-10000925</t>
  </si>
  <si>
    <t>IT-2014-4809306</t>
  </si>
  <si>
    <t>FUR-CH-10001039</t>
  </si>
  <si>
    <t>CA-2014-100111</t>
  </si>
  <si>
    <t>OFF-PA-10000807</t>
  </si>
  <si>
    <t>TOPS "Important Message" Pads, Canary, 4-1/4 x 5-1/2, 50 Sheets per Pad</t>
  </si>
  <si>
    <t>IN-2014-62730</t>
  </si>
  <si>
    <t>OFF-BI-10004869</t>
  </si>
  <si>
    <t>IN-2014-83310</t>
  </si>
  <si>
    <t>Patrick Jones</t>
  </si>
  <si>
    <t>Canterbury</t>
  </si>
  <si>
    <t>OFF-EN-10003979</t>
  </si>
  <si>
    <t>Kraft Clasp Envelope, with clear poly window</t>
  </si>
  <si>
    <t>MX-2012-144561</t>
  </si>
  <si>
    <t>QuerÃ©taro</t>
  </si>
  <si>
    <t>TEC-MA-10001622</t>
  </si>
  <si>
    <t>Okidata Card Printer, Red</t>
  </si>
  <si>
    <t>RO-2011-2950</t>
  </si>
  <si>
    <t>Mick Crebagga</t>
  </si>
  <si>
    <t>Cluj</t>
  </si>
  <si>
    <t>OFF-SME-10002250</t>
  </si>
  <si>
    <t>Smead File Folder Labels, Alphabetical</t>
  </si>
  <si>
    <t>IN-2011-75323</t>
  </si>
  <si>
    <t>Sanjit Chand</t>
  </si>
  <si>
    <t>OFF-AP-10001567</t>
  </si>
  <si>
    <t>Breville Blender, White</t>
  </si>
  <si>
    <t>IN-2013-52230</t>
  </si>
  <si>
    <t>OFF-PA-10003020</t>
  </si>
  <si>
    <t>IN-2012-54491</t>
  </si>
  <si>
    <t>Kelly Collister</t>
  </si>
  <si>
    <t>OFF-ST-10001638</t>
  </si>
  <si>
    <t>MX-2011-119746</t>
  </si>
  <si>
    <t>TEC-AC-10000890</t>
  </si>
  <si>
    <t>Belkin Router, USB</t>
  </si>
  <si>
    <t>PL-2011-4090</t>
  </si>
  <si>
    <t>TEC-PAN-10000377</t>
  </si>
  <si>
    <t>Panasonic Inkjet, Durable</t>
  </si>
  <si>
    <t>US-2014-126032</t>
  </si>
  <si>
    <t>IN-2014-40400</t>
  </si>
  <si>
    <t>FUR-FU-10002829</t>
  </si>
  <si>
    <t>Deflect-O Clock, Black</t>
  </si>
  <si>
    <t>MX-2012-148054</t>
  </si>
  <si>
    <t>FUR-BO-10002325</t>
  </si>
  <si>
    <t>Bush Classic Bookcase, Metal</t>
  </si>
  <si>
    <t>IN-2014-51033</t>
  </si>
  <si>
    <t>Carol Adams</t>
  </si>
  <si>
    <t>TEC-MA-10000572</t>
  </si>
  <si>
    <t>Epson Card Printer, Red</t>
  </si>
  <si>
    <t>ES-2013-1598291</t>
  </si>
  <si>
    <t>Lena Radford</t>
  </si>
  <si>
    <t>Basque Country</t>
  </si>
  <si>
    <t>OFF-PA-10001736</t>
  </si>
  <si>
    <t>SanDisk Note Cards, 8.5 x 11</t>
  </si>
  <si>
    <t>MX-2011-158204</t>
  </si>
  <si>
    <t>OFF-BI-10001598</t>
  </si>
  <si>
    <t>ES-2011-2130034</t>
  </si>
  <si>
    <t>Denise Monton</t>
  </si>
  <si>
    <t>TEC-AC-10003327</t>
  </si>
  <si>
    <t>Logitech Keyboard, Erganomic</t>
  </si>
  <si>
    <t>IN-2014-81154</t>
  </si>
  <si>
    <t>Nancy Lomonaco</t>
  </si>
  <si>
    <t>OFF-EN-10000975</t>
  </si>
  <si>
    <t>Ames Manila Envelope, Set of 50</t>
  </si>
  <si>
    <t>IT-2011-5015979</t>
  </si>
  <si>
    <t>Natalie Fritzler</t>
  </si>
  <si>
    <t>Tuscany</t>
  </si>
  <si>
    <t>OFF-ST-10000922</t>
  </si>
  <si>
    <t>Eldon File Cart, Blue</t>
  </si>
  <si>
    <t>ES-2011-2722980</t>
  </si>
  <si>
    <t>Hallie Redmond</t>
  </si>
  <si>
    <t>OFF-AR-10000110</t>
  </si>
  <si>
    <t>US-2012-103254</t>
  </si>
  <si>
    <t>Espaillat</t>
  </si>
  <si>
    <t>OFF-BI-10004980</t>
  </si>
  <si>
    <t>Cardinal Hole Reinforcements, Recycled</t>
  </si>
  <si>
    <t>ES-2012-4430401</t>
  </si>
  <si>
    <t>Scotland</t>
  </si>
  <si>
    <t>OFF-LA-10002964</t>
  </si>
  <si>
    <t>Harbour Creations Shipping Labels, 5000 Label Set</t>
  </si>
  <si>
    <t>US-2011-158554</t>
  </si>
  <si>
    <t>Larry Hughes</t>
  </si>
  <si>
    <t>TEC-PH-10004196</t>
  </si>
  <si>
    <t>Samsung Smart Phone, Cordless</t>
  </si>
  <si>
    <t>MX-2014-153549</t>
  </si>
  <si>
    <t>CamagÃ¼ey</t>
  </si>
  <si>
    <t>OFF-AR-10004109</t>
  </si>
  <si>
    <t>ES-2014-4407511</t>
  </si>
  <si>
    <t>OFF-SU-10001021</t>
  </si>
  <si>
    <t>Fiskars Box Cutter, Serrated</t>
  </si>
  <si>
    <t>TZ-2013-7270</t>
  </si>
  <si>
    <t>OFF-ROG-10001340</t>
  </si>
  <si>
    <t>Rogers File Cart, Industrial</t>
  </si>
  <si>
    <t>ES-2011-4272488</t>
  </si>
  <si>
    <t>FUR-BO-10001405</t>
  </si>
  <si>
    <t>Bush Stackable Bookrack, Pine</t>
  </si>
  <si>
    <t>MX-2013-141425</t>
  </si>
  <si>
    <t>TEC-AC-10003927</t>
  </si>
  <si>
    <t>IN-2014-25637</t>
  </si>
  <si>
    <t>Hebei</t>
  </si>
  <si>
    <t>CA-2014-155698</t>
  </si>
  <si>
    <t>OFF-LA-10001158</t>
  </si>
  <si>
    <t>Avery Address/Shipping Labels for Typewriters, 4" x 2"</t>
  </si>
  <si>
    <t>ES-2014-2299862</t>
  </si>
  <si>
    <t>ES-2011-4709704</t>
  </si>
  <si>
    <t>Sonia Sunley</t>
  </si>
  <si>
    <t>OFF-AR-10002681</t>
  </si>
  <si>
    <t>Stanley Canvas, Fluorescent</t>
  </si>
  <si>
    <t>US-2013-123085</t>
  </si>
  <si>
    <t>Choluteca</t>
  </si>
  <si>
    <t>TEC-PH-10002127</t>
  </si>
  <si>
    <t>IR-2012-1650</t>
  </si>
  <si>
    <t>Carl Jackson</t>
  </si>
  <si>
    <t>Lorestan</t>
  </si>
  <si>
    <t>OFF-JIF-10002275</t>
  </si>
  <si>
    <t>Jiffy Clasp Envelope, with clear poly window</t>
  </si>
  <si>
    <t>MX-2014-109043</t>
  </si>
  <si>
    <t>Matt Collister</t>
  </si>
  <si>
    <t>LeÃ³n</t>
  </si>
  <si>
    <t>OFF-FA-10003496</t>
  </si>
  <si>
    <t>Stockwell Push Pins, Assorted Sizes</t>
  </si>
  <si>
    <t>IT-2014-1036058</t>
  </si>
  <si>
    <t>TEC-PH-10000270</t>
  </si>
  <si>
    <t>Apple Office Telephone, VoIP</t>
  </si>
  <si>
    <t>US-2013-167101</t>
  </si>
  <si>
    <t>OFF-FA-10004401</t>
  </si>
  <si>
    <t>OIC Staples, Metal</t>
  </si>
  <si>
    <t>MX-2014-147487</t>
  </si>
  <si>
    <t>Sarah Foster</t>
  </si>
  <si>
    <t>MX-2011-160969</t>
  </si>
  <si>
    <t>Dianna Arnett</t>
  </si>
  <si>
    <t>OFF-FA-10000522</t>
  </si>
  <si>
    <t>IT-2014-3261574</t>
  </si>
  <si>
    <t>OFF-LA-10004737</t>
  </si>
  <si>
    <t>Avery Shipping Labels, 5000 Label Set</t>
  </si>
  <si>
    <t>ID-2014-73272</t>
  </si>
  <si>
    <t>OFF-ST-10000344</t>
  </si>
  <si>
    <t>Fellowes Box, Industrial</t>
  </si>
  <si>
    <t>ID-2013-57333</t>
  </si>
  <si>
    <t>OFF-EN-10001958</t>
  </si>
  <si>
    <t>GlobeWeis Clasp Envelope, Security-Tint</t>
  </si>
  <si>
    <t>ES-2013-5056342</t>
  </si>
  <si>
    <t>OFF-BI-10002225</t>
  </si>
  <si>
    <t>Cardinal Binding Machine, Durable</t>
  </si>
  <si>
    <t>CA-2011-131947</t>
  </si>
  <si>
    <t>HR-2014-1830</t>
  </si>
  <si>
    <t>Splitsko-Dalmatinska</t>
  </si>
  <si>
    <t>Croatia</t>
  </si>
  <si>
    <t>OFF-AVE-10002024</t>
  </si>
  <si>
    <t>Avery Index Tab, Durable</t>
  </si>
  <si>
    <t>SF-2013-1600</t>
  </si>
  <si>
    <t>Sharelle Roach</t>
  </si>
  <si>
    <t>OFF-AME-10000870</t>
  </si>
  <si>
    <t>IR-2011-4250</t>
  </si>
  <si>
    <t>Tim Brockman</t>
  </si>
  <si>
    <t>Kermanshah</t>
  </si>
  <si>
    <t>TEC-STA-10000008</t>
  </si>
  <si>
    <t>StarTech Calculator, Wireless</t>
  </si>
  <si>
    <t>CA-2012-103835</t>
  </si>
  <si>
    <t>OFF-AP-10002651</t>
  </si>
  <si>
    <t>Hoover Upright Vacuum With Dirt Cup</t>
  </si>
  <si>
    <t>SG-2013-5580</t>
  </si>
  <si>
    <t>Dorris liebe</t>
  </si>
  <si>
    <t>Saint-Louis</t>
  </si>
  <si>
    <t>Senegal</t>
  </si>
  <si>
    <t>TEC-KON-10001624</t>
  </si>
  <si>
    <t>IN-2014-20338</t>
  </si>
  <si>
    <t>OFF-AR-10004219</t>
  </si>
  <si>
    <t>MX-2014-130890</t>
  </si>
  <si>
    <t>FUR-BO-10003297</t>
  </si>
  <si>
    <t>Ikea 3-Shelf Cabinet, Metal</t>
  </si>
  <si>
    <t>IT-2014-5878187</t>
  </si>
  <si>
    <t>Barry FranzÃ¶sisch</t>
  </si>
  <si>
    <t>OFF-ST-10002905</t>
  </si>
  <si>
    <t>Rogers Box, Single Width</t>
  </si>
  <si>
    <t>CA-2011-137911</t>
  </si>
  <si>
    <t>Bart Pistole</t>
  </si>
  <si>
    <t>OFF-PA-10004071</t>
  </si>
  <si>
    <t>Eaton Premium Continuous-Feed Paper, 25% Cotton, Letter Size, White, 1000 Shts/Box</t>
  </si>
  <si>
    <t>MX-2014-104941</t>
  </si>
  <si>
    <t>Nick Radford</t>
  </si>
  <si>
    <t>OFF-AR-10000461</t>
  </si>
  <si>
    <t>Binney &amp; Smith Highlighters, Water Color</t>
  </si>
  <si>
    <t>IN-2013-12036</t>
  </si>
  <si>
    <t>Dean percer</t>
  </si>
  <si>
    <t>FUR-CH-10002213</t>
  </si>
  <si>
    <t>MX-2014-145828</t>
  </si>
  <si>
    <t>OFF-AR-10002535</t>
  </si>
  <si>
    <t>MX-2014-158505</t>
  </si>
  <si>
    <t>Thomas Boland</t>
  </si>
  <si>
    <t>Coahuila</t>
  </si>
  <si>
    <t>OFF-AP-10002317</t>
  </si>
  <si>
    <t>Hamilton Beach Refrigerator, Silver</t>
  </si>
  <si>
    <t>IT-2012-1314917</t>
  </si>
  <si>
    <t>Luke Schmidt</t>
  </si>
  <si>
    <t>OFF-AP-10000304</t>
  </si>
  <si>
    <t>Breville Stove, Red</t>
  </si>
  <si>
    <t>US-2014-118794</t>
  </si>
  <si>
    <t>Stefanie Holloman</t>
  </si>
  <si>
    <t>OFF-ST-10001440</t>
  </si>
  <si>
    <t>MX-2014-158386</t>
  </si>
  <si>
    <t>Pichincha</t>
  </si>
  <si>
    <t>Ecuador</t>
  </si>
  <si>
    <t>ES-2012-2223892</t>
  </si>
  <si>
    <t>Katrina Edelman</t>
  </si>
  <si>
    <t>Utrecht</t>
  </si>
  <si>
    <t>TEC-CO-10000620</t>
  </si>
  <si>
    <t>Brother Wireless Fax, Digital</t>
  </si>
  <si>
    <t>CA-2014-112004</t>
  </si>
  <si>
    <t>OFF-BI-10003476</t>
  </si>
  <si>
    <t>Avery Metallic Poly Binders</t>
  </si>
  <si>
    <t>IV-2012-7600</t>
  </si>
  <si>
    <t>TEC-CIS-10002565</t>
  </si>
  <si>
    <t>Cisco Speaker Phone, Full Size</t>
  </si>
  <si>
    <t>IT-2013-2925328</t>
  </si>
  <si>
    <t>Liz Pelletier</t>
  </si>
  <si>
    <t>OFF-AR-10000724</t>
  </si>
  <si>
    <t>AG-2012-8490</t>
  </si>
  <si>
    <t>Liz Carlisle</t>
  </si>
  <si>
    <t>Batna</t>
  </si>
  <si>
    <t>OFF-WIL-10002153</t>
  </si>
  <si>
    <t>ID-2012-78207</t>
  </si>
  <si>
    <t>OFF-AP-10001621</t>
  </si>
  <si>
    <t>Hamilton Beach Refrigerator, Black</t>
  </si>
  <si>
    <t>CA-2013-168557</t>
  </si>
  <si>
    <t>OFF-BI-10002309</t>
  </si>
  <si>
    <t>Avery Heavy-Duty EZD  Binder With Locking Rings</t>
  </si>
  <si>
    <t>UP-2014-1400</t>
  </si>
  <si>
    <t>Poltava</t>
  </si>
  <si>
    <t>CA-2012-149972</t>
  </si>
  <si>
    <t>FUR-CH-10004997</t>
  </si>
  <si>
    <t>Hon Every-Day Series Multi-Task Chairs</t>
  </si>
  <si>
    <t>IN-2013-52419</t>
  </si>
  <si>
    <t>Th? DÃ´ HÃ  N?i</t>
  </si>
  <si>
    <t>OFF-LA-10003627</t>
  </si>
  <si>
    <t>Novimex Round Labels, Adjustable</t>
  </si>
  <si>
    <t>CA-2013-156685</t>
  </si>
  <si>
    <t>OFF-AR-10000588</t>
  </si>
  <si>
    <t>Newell 345</t>
  </si>
  <si>
    <t>IN-2013-15466</t>
  </si>
  <si>
    <t>OFF-FA-10003378</t>
  </si>
  <si>
    <t>Accos Push Pins, Metal</t>
  </si>
  <si>
    <t>CA-2013-130078</t>
  </si>
  <si>
    <t>Charles Crestani</t>
  </si>
  <si>
    <t>OFF-PA-10003270</t>
  </si>
  <si>
    <t>Xerox 1954</t>
  </si>
  <si>
    <t>RS-2012-6690</t>
  </si>
  <si>
    <t>Aleksandra Gannaway</t>
  </si>
  <si>
    <t>OFF-SAN-10002323</t>
  </si>
  <si>
    <t>ID-2011-61876</t>
  </si>
  <si>
    <t>Daejeon</t>
  </si>
  <si>
    <t>OFF-BI-10002632</t>
  </si>
  <si>
    <t>Acco Binding Machine, Recycled</t>
  </si>
  <si>
    <t>IN-2014-71235</t>
  </si>
  <si>
    <t>OFF-PA-10000453</t>
  </si>
  <si>
    <t>Xerox Cards &amp; Envelopes, 8.5 x 11</t>
  </si>
  <si>
    <t>US-2011-114342</t>
  </si>
  <si>
    <t>Larry Blacks</t>
  </si>
  <si>
    <t>San Juan</t>
  </si>
  <si>
    <t>FUR-BO-10004340</t>
  </si>
  <si>
    <t>Safco Classic Bookcase, Mobile</t>
  </si>
  <si>
    <t>MX-2011-117107</t>
  </si>
  <si>
    <t>Jack Garza</t>
  </si>
  <si>
    <t>OFF-ST-10000442</t>
  </si>
  <si>
    <t>Rogers Box, Wire Frame</t>
  </si>
  <si>
    <t>ES-2012-5195118</t>
  </si>
  <si>
    <t>TEC-PH-10003439</t>
  </si>
  <si>
    <t>Apple Audio Dock, VoIP</t>
  </si>
  <si>
    <t>IN-2014-59475</t>
  </si>
  <si>
    <t>FUR-FU-10002335</t>
  </si>
  <si>
    <t>Rubbermaid Light Bulb, Durable</t>
  </si>
  <si>
    <t>IN-2011-46413</t>
  </si>
  <si>
    <t>FUR-CH-10000602</t>
  </si>
  <si>
    <t>Novimex Executive Leather Armchair, Red</t>
  </si>
  <si>
    <t>IR-2013-6870</t>
  </si>
  <si>
    <t>Fars</t>
  </si>
  <si>
    <t>OFF-SME-10003305</t>
  </si>
  <si>
    <t>Smead File Folder Labels, Adjustable</t>
  </si>
  <si>
    <t>CA-2014-147277</t>
  </si>
  <si>
    <t>OFF-ST-10000142</t>
  </si>
  <si>
    <t>Deluxe Rollaway Locking File with Drawer</t>
  </si>
  <si>
    <t>CA-2014-155558</t>
  </si>
  <si>
    <t>Paul Gonzalez</t>
  </si>
  <si>
    <t>Minnesota</t>
  </si>
  <si>
    <t>OFF-LA-10000134</t>
  </si>
  <si>
    <t>Avery 511</t>
  </si>
  <si>
    <t>IT-2013-4559122</t>
  </si>
  <si>
    <t>ZÃ¼rich</t>
  </si>
  <si>
    <t>OFF-ST-10000952</t>
  </si>
  <si>
    <t>Smead File Cart, Blue</t>
  </si>
  <si>
    <t>MX-2012-118248</t>
  </si>
  <si>
    <t>IN-2011-44558</t>
  </si>
  <si>
    <t>OFF-EN-10002671</t>
  </si>
  <si>
    <t>GlobeWeis Interoffice Envelope, with clear poly window</t>
  </si>
  <si>
    <t>US-2012-126284</t>
  </si>
  <si>
    <t>Tonja Turnell</t>
  </si>
  <si>
    <t>Aragua</t>
  </si>
  <si>
    <t>OFF-FA-10002782</t>
  </si>
  <si>
    <t>Accos Thumb Tacks, Assorted Sizes</t>
  </si>
  <si>
    <t>CA-2012-146829</t>
  </si>
  <si>
    <t>Toby Swindell</t>
  </si>
  <si>
    <t>OFF-BI-10004022</t>
  </si>
  <si>
    <t>Acco Suede Grain Vinyl Round Ring Binder</t>
  </si>
  <si>
    <t>IN-2014-18917</t>
  </si>
  <si>
    <t>Alejandro Grove</t>
  </si>
  <si>
    <t>Gansu</t>
  </si>
  <si>
    <t>TEC-PH-10000822</t>
  </si>
  <si>
    <t>Apple Speaker Phone, Full Size</t>
  </si>
  <si>
    <t>ES-2012-3770443</t>
  </si>
  <si>
    <t>OFF-FA-10004359</t>
  </si>
  <si>
    <t>OIC Paper Clips, Assorted Sizes</t>
  </si>
  <si>
    <t>IN-2014-81399</t>
  </si>
  <si>
    <t>OFF-SU-10001891</t>
  </si>
  <si>
    <t>UP-2012-5910</t>
  </si>
  <si>
    <t>L'viv</t>
  </si>
  <si>
    <t>OFF-IBI-10000951</t>
  </si>
  <si>
    <t>Ibico Binder Covers, Economy</t>
  </si>
  <si>
    <t>CA-2012-150413</t>
  </si>
  <si>
    <t>Cari Schnelling</t>
  </si>
  <si>
    <t>OFF-BI-10000404</t>
  </si>
  <si>
    <t>Avery Printable Repositionable Plastic Tabs</t>
  </si>
  <si>
    <t>ID-2012-13268</t>
  </si>
  <si>
    <t>TEC-CO-10002380</t>
  </si>
  <si>
    <t>Canon Fax and Copier, High-Speed</t>
  </si>
  <si>
    <t>MA-2013-1850</t>
  </si>
  <si>
    <t>TEC-STA-10003330</t>
  </si>
  <si>
    <t>StarTech Printer, Red</t>
  </si>
  <si>
    <t>US-2013-128482</t>
  </si>
  <si>
    <t>TEC-PH-10000087</t>
  </si>
  <si>
    <t>Apple Signal Booster, Cordless</t>
  </si>
  <si>
    <t>US-2014-160164</t>
  </si>
  <si>
    <t>TEC-PH-10001602</t>
  </si>
  <si>
    <t>Samsung Office Telephone, Full Size</t>
  </si>
  <si>
    <t>IT-2012-2834141</t>
  </si>
  <si>
    <t>Lisa DeCherney</t>
  </si>
  <si>
    <t>South Holland</t>
  </si>
  <si>
    <t>OFF-PA-10002534</t>
  </si>
  <si>
    <t>Green Bar Memo Slips, Multicolor</t>
  </si>
  <si>
    <t>MX-2014-143763</t>
  </si>
  <si>
    <t>OFF-LA-10003820</t>
  </si>
  <si>
    <t>US-2013-131912</t>
  </si>
  <si>
    <t>OFF-BI-10004236</t>
  </si>
  <si>
    <t>XtraLife ClearVue Slant-D Ring Binder, White, 3"</t>
  </si>
  <si>
    <t>CA-2013-147368</t>
  </si>
  <si>
    <t>Toby Carlisle</t>
  </si>
  <si>
    <t>TEC-MA-10002178</t>
  </si>
  <si>
    <t>Cisco CP-7937G Unified IP Conference Station Phone</t>
  </si>
  <si>
    <t>ES-2014-2022735</t>
  </si>
  <si>
    <t>TEC-PH-10004635</t>
  </si>
  <si>
    <t>Samsung Office Telephone, with Caller ID</t>
  </si>
  <si>
    <t>SA-2012-7870</t>
  </si>
  <si>
    <t>TEC-SAN-10004424</t>
  </si>
  <si>
    <t>SanDisk Router, Bluetooth</t>
  </si>
  <si>
    <t>US-2012-161053</t>
  </si>
  <si>
    <t>Brenda Bowman</t>
  </si>
  <si>
    <t>Tabasco</t>
  </si>
  <si>
    <t>FUR-FU-10004787</t>
  </si>
  <si>
    <t>Advantus Frame, Durable</t>
  </si>
  <si>
    <t>AO-2014-2110</t>
  </si>
  <si>
    <t>Huambo</t>
  </si>
  <si>
    <t>OFF-ACC-10001285</t>
  </si>
  <si>
    <t>US-2012-138093</t>
  </si>
  <si>
    <t>Kalyca Meade</t>
  </si>
  <si>
    <t>OFF-PA-10001509</t>
  </si>
  <si>
    <t>Recycled Desk Saver Line "While You Were Out" Book, 5 1/2" X 4"</t>
  </si>
  <si>
    <t>IN-2014-53070</t>
  </si>
  <si>
    <t>Brad Eason</t>
  </si>
  <si>
    <t>FUR-FU-10002246</t>
  </si>
  <si>
    <t>Tenex Frame, Duo Pack</t>
  </si>
  <si>
    <t>US-2012-138464</t>
  </si>
  <si>
    <t>Tony Sayre</t>
  </si>
  <si>
    <t>TEC-CO-10001371</t>
  </si>
  <si>
    <t>ES-2013-3046064</t>
  </si>
  <si>
    <t>Emilia-Romagna</t>
  </si>
  <si>
    <t>OFF-AR-10000594</t>
  </si>
  <si>
    <t>CA-2014-100951</t>
  </si>
  <si>
    <t>OFF-ST-10001496</t>
  </si>
  <si>
    <t>Standard Rollaway File with Lock</t>
  </si>
  <si>
    <t>CA-2014-152807</t>
  </si>
  <si>
    <t>OFF-PA-10004355</t>
  </si>
  <si>
    <t>Xerox 231</t>
  </si>
  <si>
    <t>CA-2011-125731</t>
  </si>
  <si>
    <t>OFF-EN-10003072</t>
  </si>
  <si>
    <t>Peel &amp; Seel Envelopes</t>
  </si>
  <si>
    <t>TO-2013-3020</t>
  </si>
  <si>
    <t>Maritime</t>
  </si>
  <si>
    <t>Togo</t>
  </si>
  <si>
    <t>OFF-WIL-10001069</t>
  </si>
  <si>
    <t>Wilson Jones Hole Reinforcements, Clear</t>
  </si>
  <si>
    <t>IZ-2014-2130</t>
  </si>
  <si>
    <t>OFF-ADV-10004274</t>
  </si>
  <si>
    <t>Advantus Thumb Tacks, Metal</t>
  </si>
  <si>
    <t>OFF-BIN-10001715</t>
  </si>
  <si>
    <t>Binney &amp; Smith Canvas, Easy-Erase</t>
  </si>
  <si>
    <t>IR-2014-1670</t>
  </si>
  <si>
    <t>Jill Matthias</t>
  </si>
  <si>
    <t>Ardabil</t>
  </si>
  <si>
    <t>OFF-CAR-10004661</t>
  </si>
  <si>
    <t>Cardinal Binding Machine, Recycled</t>
  </si>
  <si>
    <t>US-2013-161697</t>
  </si>
  <si>
    <t>OFF-BI-10004470</t>
  </si>
  <si>
    <t>Wilson Jones Index Tab, Durable</t>
  </si>
  <si>
    <t>MX-2014-160241</t>
  </si>
  <si>
    <t>FUR-BO-10004508</t>
  </si>
  <si>
    <t>Ikea Floating Shelf Set, Mobile</t>
  </si>
  <si>
    <t>CA-2011-143182</t>
  </si>
  <si>
    <t>FUR-FU-10004270</t>
  </si>
  <si>
    <t>Executive Impressions 13" Clairmont Wall Clock</t>
  </si>
  <si>
    <t>IN-2014-31321</t>
  </si>
  <si>
    <t>Justin Ritter</t>
  </si>
  <si>
    <t>MX-2011-140697</t>
  </si>
  <si>
    <t>Paul MacIntyre</t>
  </si>
  <si>
    <t>OFF-SU-10003739</t>
  </si>
  <si>
    <t>ES-2013-3394564</t>
  </si>
  <si>
    <t>OFF-AR-10001418</t>
  </si>
  <si>
    <t>BIC Markers, Easy-Erase</t>
  </si>
  <si>
    <t>IN-2014-60175</t>
  </si>
  <si>
    <t>OFF-BI-10004369</t>
  </si>
  <si>
    <t>US-2013-128965</t>
  </si>
  <si>
    <t>FUR-TA-10000310</t>
  </si>
  <si>
    <t>TU-2014-6570</t>
  </si>
  <si>
    <t>Maria Zettner</t>
  </si>
  <si>
    <t>Antalya</t>
  </si>
  <si>
    <t>OFF-ROG-10003300</t>
  </si>
  <si>
    <t>IN-2013-13387</t>
  </si>
  <si>
    <t>OFF-PA-10003686</t>
  </si>
  <si>
    <t>SanDisk Message Books, Multicolor</t>
  </si>
  <si>
    <t>TU-2011-6180</t>
  </si>
  <si>
    <t>Carol Triggs</t>
  </si>
  <si>
    <t>Kirsehir</t>
  </si>
  <si>
    <t>TEC-STA-10002497</t>
  </si>
  <si>
    <t>StarTech Card Printer, White</t>
  </si>
  <si>
    <t>ES-2014-2298874</t>
  </si>
  <si>
    <t>Craig Carroll</t>
  </si>
  <si>
    <t>TEC-PH-10001732</t>
  </si>
  <si>
    <t>IT-2012-1319120</t>
  </si>
  <si>
    <t>IZ-2012-3720</t>
  </si>
  <si>
    <t>TEC-SHA-10001413</t>
  </si>
  <si>
    <t>MO-2014-8700</t>
  </si>
  <si>
    <t>IN-2013-60364</t>
  </si>
  <si>
    <t>OFF-ST-10002650</t>
  </si>
  <si>
    <t>Fellowes Lockers, Wire Frame</t>
  </si>
  <si>
    <t>CA-2013-142545</t>
  </si>
  <si>
    <t>OFF-BI-10002706</t>
  </si>
  <si>
    <t>Avery Premier Heavy-Duty Binder with Round Locking Rings</t>
  </si>
  <si>
    <t>MX-2013-127880</t>
  </si>
  <si>
    <t>Steven Ward</t>
  </si>
  <si>
    <t>OFF-EN-10000139</t>
  </si>
  <si>
    <t>Ames Manila Envelope, Recycled</t>
  </si>
  <si>
    <t>IN-2013-59888</t>
  </si>
  <si>
    <t>Corey Roper</t>
  </si>
  <si>
    <t>TEC-AC-10002455</t>
  </si>
  <si>
    <t>Logitech Flash Drive, Programmable</t>
  </si>
  <si>
    <t>US-2011-153017</t>
  </si>
  <si>
    <t>OFF-LA-10001230</t>
  </si>
  <si>
    <t>ES-2012-5959969</t>
  </si>
  <si>
    <t>Anthony Jacobs</t>
  </si>
  <si>
    <t>OFF-AP-10004869</t>
  </si>
  <si>
    <t>CA-2011-124394</t>
  </si>
  <si>
    <t>TEC-AC-10001314</t>
  </si>
  <si>
    <t>Case Logic 2.4GHz Wireless Keyboard</t>
  </si>
  <si>
    <t>CA-2012-158659</t>
  </si>
  <si>
    <t>OFF-ST-10003306</t>
  </si>
  <si>
    <t>Letter Size Cart</t>
  </si>
  <si>
    <t>CA-2013-154018</t>
  </si>
  <si>
    <t>Helen Andreada</t>
  </si>
  <si>
    <t>IT-2011-2600640</t>
  </si>
  <si>
    <t>Berlin</t>
  </si>
  <si>
    <t>OFF-BI-10000972</t>
  </si>
  <si>
    <t>Acco 3-Hole Punch, Economy</t>
  </si>
  <si>
    <t>CA-2012-114300</t>
  </si>
  <si>
    <t>Kentucky</t>
  </si>
  <si>
    <t>TEC-PH-10001552</t>
  </si>
  <si>
    <t>I Need's 3d Hello Kitty Hybrid Silicone Case Cover for HTC One X 4g with 3d Hello Kitty Stylus Pen Green/pink</t>
  </si>
  <si>
    <t>US-2011-112991</t>
  </si>
  <si>
    <t>Idaho</t>
  </si>
  <si>
    <t>OFF-PA-10000019</t>
  </si>
  <si>
    <t>Xerox 1931</t>
  </si>
  <si>
    <t>CA-2013-125815</t>
  </si>
  <si>
    <t>OFF-AR-10004441</t>
  </si>
  <si>
    <t>BIC Brite Liner Highlighters</t>
  </si>
  <si>
    <t>CA-2011-113383</t>
  </si>
  <si>
    <t>FUR-FU-10001986</t>
  </si>
  <si>
    <t>Dana Fluorescent Magnifying Lamp, White, 36"</t>
  </si>
  <si>
    <t>IT-2013-4191455</t>
  </si>
  <si>
    <t>FUR-CH-10001582</t>
  </si>
  <si>
    <t>Office Star Executive Leather Armchair, Black</t>
  </si>
  <si>
    <t>CA-2013-138478</t>
  </si>
  <si>
    <t>Dennis Pardue</t>
  </si>
  <si>
    <t>Nevada</t>
  </si>
  <si>
    <t>OFF-AR-10002240</t>
  </si>
  <si>
    <t>Panasonic KP-150 Electric Pencil Sharpener</t>
  </si>
  <si>
    <t>MO-2011-3300</t>
  </si>
  <si>
    <t>Doukkala-Abda</t>
  </si>
  <si>
    <t>FUR-TEN-10000525</t>
  </si>
  <si>
    <t>Tenex Clock, Black</t>
  </si>
  <si>
    <t>ES-2012-2287053</t>
  </si>
  <si>
    <t>Carlos Soltero</t>
  </si>
  <si>
    <t>MX-2013-154144</t>
  </si>
  <si>
    <t>Lynn Smith</t>
  </si>
  <si>
    <t>Amazonas</t>
  </si>
  <si>
    <t>OFF-PA-10001495</t>
  </si>
  <si>
    <t>Xerox Parchment Paper, Recycled</t>
  </si>
  <si>
    <t>CA-2014-130211</t>
  </si>
  <si>
    <t>Brian DeCherney</t>
  </si>
  <si>
    <t>OFF-ST-10000129</t>
  </si>
  <si>
    <t>Fellowes Recycled Storage Drawers</t>
  </si>
  <si>
    <t>US-2013-143644</t>
  </si>
  <si>
    <t>OFF-PA-10004421</t>
  </si>
  <si>
    <t>Enermax Memo Slips, Multicolor</t>
  </si>
  <si>
    <t>US-2012-168732</t>
  </si>
  <si>
    <t>MA-2014-6360</t>
  </si>
  <si>
    <t>TEC-LOG-10001871</t>
  </si>
  <si>
    <t>ID-2013-62352</t>
  </si>
  <si>
    <t>OFF-LA-10003381</t>
  </si>
  <si>
    <t>Novimex Removable Labels, Laser Printer Compatible</t>
  </si>
  <si>
    <t>IN-2011-25588</t>
  </si>
  <si>
    <t>OFF-AR-10001823</t>
  </si>
  <si>
    <t>CA-2011-145387</t>
  </si>
  <si>
    <t>Rhode Island</t>
  </si>
  <si>
    <t>FUR-CH-10002320</t>
  </si>
  <si>
    <t>Hon Pagoda Stacking Chairs</t>
  </si>
  <si>
    <t>IN-2014-69527</t>
  </si>
  <si>
    <t>FUR-CH-10002631</t>
  </si>
  <si>
    <t>Office Star Bag Chairs, Black</t>
  </si>
  <si>
    <t>ES-2013-4851162</t>
  </si>
  <si>
    <t>Lorraine</t>
  </si>
  <si>
    <t>OFF-AR-10001720</t>
  </si>
  <si>
    <t>Stanley Canvas, Blue</t>
  </si>
  <si>
    <t>IN-2014-42801</t>
  </si>
  <si>
    <t>TEC-AC-10000269</t>
  </si>
  <si>
    <t>IT-2014-5637241</t>
  </si>
  <si>
    <t>Galicia</t>
  </si>
  <si>
    <t>OFF-BI-10000115</t>
  </si>
  <si>
    <t>Acco Hole Reinforcements, Clear</t>
  </si>
  <si>
    <t>ES-2014-1848240</t>
  </si>
  <si>
    <t>TEC-MA-10003079</t>
  </si>
  <si>
    <t>Panasonic Card Printer, Wireless</t>
  </si>
  <si>
    <t>AG-2012-4910</t>
  </si>
  <si>
    <t>Karen Ferguson</t>
  </si>
  <si>
    <t>Alger</t>
  </si>
  <si>
    <t>OFF-TEN-10000894</t>
  </si>
  <si>
    <t>ES-2013-4020783</t>
  </si>
  <si>
    <t>Castile-La Mancha</t>
  </si>
  <si>
    <t>CA-2012-200</t>
  </si>
  <si>
    <t>OFF-BIC-10002722</t>
  </si>
  <si>
    <t>BIC Pens, Water Color</t>
  </si>
  <si>
    <t>MX-2012-140018</t>
  </si>
  <si>
    <t>OFF-ST-10000557</t>
  </si>
  <si>
    <t>Tenex Box, Blue</t>
  </si>
  <si>
    <t>ID-2014-19813</t>
  </si>
  <si>
    <t>TEC-AC-10002335</t>
  </si>
  <si>
    <t>Belkin Memory Card, USB</t>
  </si>
  <si>
    <t>RO-2014-6420</t>
  </si>
  <si>
    <t>Constanta</t>
  </si>
  <si>
    <t>CA-2012-490</t>
  </si>
  <si>
    <t>Janet Lee</t>
  </si>
  <si>
    <t>OFF-STO-10003605</t>
  </si>
  <si>
    <t>Stockwell Paper Clips, Metal</t>
  </si>
  <si>
    <t>US-2014-136679</t>
  </si>
  <si>
    <t>TEC-AC-10004855</t>
  </si>
  <si>
    <t>V7 USB Numeric Keypad</t>
  </si>
  <si>
    <t>CA-2011-119151</t>
  </si>
  <si>
    <t>OFF-ST-10003470</t>
  </si>
  <si>
    <t>Tennsco Snap-Together Open Shelving Units, Starter Sets and Add-On Units</t>
  </si>
  <si>
    <t>US-2014-109967</t>
  </si>
  <si>
    <t>Santa Catarina</t>
  </si>
  <si>
    <t>FUR-FU-10003725</t>
  </si>
  <si>
    <t>Advantus Light Bulb, Erganomic</t>
  </si>
  <si>
    <t>IT-2014-1003060</t>
  </si>
  <si>
    <t>Gary Hwang</t>
  </si>
  <si>
    <t>OFF-AR-10001898</t>
  </si>
  <si>
    <t>Binney &amp; Smith Pencil Sharpener, Fluorescent</t>
  </si>
  <si>
    <t>ID-2013-85347</t>
  </si>
  <si>
    <t>OFF-FA-10002444</t>
  </si>
  <si>
    <t>Stockwell Clamps, 12 Pack</t>
  </si>
  <si>
    <t>ES-2013-4858481</t>
  </si>
  <si>
    <t>ID-2014-56339</t>
  </si>
  <si>
    <t>Anne Pryor</t>
  </si>
  <si>
    <t>FUR-FU-10002933</t>
  </si>
  <si>
    <t>Advantus Stacking Tray, Erganomic</t>
  </si>
  <si>
    <t>IR-2014-1860</t>
  </si>
  <si>
    <t>FUR-SAF-10000565</t>
  </si>
  <si>
    <t>SAFCO Bag Chairs, Adjustable</t>
  </si>
  <si>
    <t>CA-2014-149160</t>
  </si>
  <si>
    <t>FUR-FU-10003347</t>
  </si>
  <si>
    <t>Coloredge Poster Frame</t>
  </si>
  <si>
    <t>MX-2012-127446</t>
  </si>
  <si>
    <t>Henry Goldwyn</t>
  </si>
  <si>
    <t>OFF-AR-10001659</t>
  </si>
  <si>
    <t>Boston Markers, Blue</t>
  </si>
  <si>
    <t>EG-2011-7790</t>
  </si>
  <si>
    <t>Anthony Johnson</t>
  </si>
  <si>
    <t>Al Minya</t>
  </si>
  <si>
    <t>OFF-KRA-10000492</t>
  </si>
  <si>
    <t>Kraft Manila Envelope, Recycled</t>
  </si>
  <si>
    <t>IT-2012-2157465</t>
  </si>
  <si>
    <t>FUR-BO-10004547</t>
  </si>
  <si>
    <t>Bush Stackable Bookrack, Traditional</t>
  </si>
  <si>
    <t>RS-2014-9190</t>
  </si>
  <si>
    <t>Irkutsk</t>
  </si>
  <si>
    <t>TEC-HP -10004451</t>
  </si>
  <si>
    <t>HP Ink, Laser</t>
  </si>
  <si>
    <t>PL-2014-6080</t>
  </si>
  <si>
    <t>FUR-OFF-10004495</t>
  </si>
  <si>
    <t>Office Star Swivel Stool, Black</t>
  </si>
  <si>
    <t>IN-2011-22368</t>
  </si>
  <si>
    <t>Janet Martin</t>
  </si>
  <si>
    <t>Jharkhand</t>
  </si>
  <si>
    <t>OFF-LA-10004114</t>
  </si>
  <si>
    <t>Avery File Folder Labels, Alphabetical</t>
  </si>
  <si>
    <t>EG-2014-9390</t>
  </si>
  <si>
    <t>OFF-KLE-10004581</t>
  </si>
  <si>
    <t>Kleencut Trimmer, Easy Grip</t>
  </si>
  <si>
    <t>ID-2014-35038</t>
  </si>
  <si>
    <t>Eric Murdock</t>
  </si>
  <si>
    <t>CA-2013-4830</t>
  </si>
  <si>
    <t>Alberta</t>
  </si>
  <si>
    <t>OFF-ACC-10000808</t>
  </si>
  <si>
    <t>CA-2013-131065</t>
  </si>
  <si>
    <t>Allen Armold</t>
  </si>
  <si>
    <t>IN-2014-17384</t>
  </si>
  <si>
    <t>FUR-CH-10003354</t>
  </si>
  <si>
    <t>IN-2012-10041</t>
  </si>
  <si>
    <t>MX-2012-154179</t>
  </si>
  <si>
    <t>FUR-CH-10003107</t>
  </si>
  <si>
    <t>Office Star Swivel Stool, Red</t>
  </si>
  <si>
    <t>CA-2011-127558</t>
  </si>
  <si>
    <t>Shahid Shariari</t>
  </si>
  <si>
    <t>FUR-FU-10002505</t>
  </si>
  <si>
    <t>Eldon 100 Class Desk Accessories</t>
  </si>
  <si>
    <t>MX-2013-101658</t>
  </si>
  <si>
    <t>Pinar del RÃ­o</t>
  </si>
  <si>
    <t>IT-2014-4709866</t>
  </si>
  <si>
    <t>Joni Wasserman</t>
  </si>
  <si>
    <t>OFF-BI-10002570</t>
  </si>
  <si>
    <t>Acco Binder Covers, Clear</t>
  </si>
  <si>
    <t>ID-2014-86873</t>
  </si>
  <si>
    <t>Christine Sundaresam</t>
  </si>
  <si>
    <t>TEC-MA-10002910</t>
  </si>
  <si>
    <t>Panasonic Inkjet, Red</t>
  </si>
  <si>
    <t>CA-2014-161459</t>
  </si>
  <si>
    <t>TEC-PH-10004071</t>
  </si>
  <si>
    <t>PayAnywhere Card Reader</t>
  </si>
  <si>
    <t>US-2013-152800</t>
  </si>
  <si>
    <t>Roy Skaria</t>
  </si>
  <si>
    <t>OFF-LA-10002868</t>
  </si>
  <si>
    <t>Hon Removable Labels, 5000 Label Set</t>
  </si>
  <si>
    <t>MX-2014-133298</t>
  </si>
  <si>
    <t>OFF-BI-10002483</t>
  </si>
  <si>
    <t>Cardinal Hole Reinforcements, Clear</t>
  </si>
  <si>
    <t>TU-2014-6200</t>
  </si>
  <si>
    <t>TEC-EPS-10001129</t>
  </si>
  <si>
    <t>Epson Inkjet, White</t>
  </si>
  <si>
    <t>IN-2012-71088</t>
  </si>
  <si>
    <t>OFF-AR-10003582</t>
  </si>
  <si>
    <t>IN-2012-37586</t>
  </si>
  <si>
    <t>Liz Preis</t>
  </si>
  <si>
    <t>OFF-LA-10004430</t>
  </si>
  <si>
    <t>ES-2014-2426460</t>
  </si>
  <si>
    <t>OFF-AP-10003971</t>
  </si>
  <si>
    <t>Hoover Toaster, Red</t>
  </si>
  <si>
    <t>OFF-FA-10000801</t>
  </si>
  <si>
    <t>Advantus Paper Clips, Assorted Sizes</t>
  </si>
  <si>
    <t>IN-2012-48338</t>
  </si>
  <si>
    <t>OFF-AP-10001322</t>
  </si>
  <si>
    <t>IN-2014-35157</t>
  </si>
  <si>
    <t>OFF-FA-10004527</t>
  </si>
  <si>
    <t>Advantus Thumb Tacks, Bulk Pack</t>
  </si>
  <si>
    <t>ES-2013-2911640</t>
  </si>
  <si>
    <t>OFF-ST-10003956</t>
  </si>
  <si>
    <t>Rogers Trays, Single Width</t>
  </si>
  <si>
    <t>ES-2013-2364306</t>
  </si>
  <si>
    <t>OFF-AR-10002485</t>
  </si>
  <si>
    <t>Boston Markers, Easy-Erase</t>
  </si>
  <si>
    <t>ES-2011-2379967</t>
  </si>
  <si>
    <t>TEC-MA-10000687</t>
  </si>
  <si>
    <t>Konica Calculator, Red</t>
  </si>
  <si>
    <t>CA-2012-1970</t>
  </si>
  <si>
    <t>Matt Hagelstein</t>
  </si>
  <si>
    <t>Saskatchewan</t>
  </si>
  <si>
    <t>FUR-ADV-10000188</t>
  </si>
  <si>
    <t>CA-2014-106103</t>
  </si>
  <si>
    <t>TEC-AC-10003832</t>
  </si>
  <si>
    <t>ImationÂ 16GB Mini TravelDrive USB 2.0Â Flash Drive</t>
  </si>
  <si>
    <t>ID-2011-30922</t>
  </si>
  <si>
    <t>Calabarzon</t>
  </si>
  <si>
    <t>OFF-SU-10004177</t>
  </si>
  <si>
    <t>Fiskars Box Cutter, Easy Grip</t>
  </si>
  <si>
    <t>CA-2014-107125</t>
  </si>
  <si>
    <t>OFF-BI-10001989</t>
  </si>
  <si>
    <t>Premium Transparent Presentation Covers by GBC</t>
  </si>
  <si>
    <t>IN-2014-34639</t>
  </si>
  <si>
    <t>Sabah</t>
  </si>
  <si>
    <t>TEC-PH-10004300</t>
  </si>
  <si>
    <t>Apple Office Telephone, Cordless</t>
  </si>
  <si>
    <t>IN-2013-40687</t>
  </si>
  <si>
    <t>Paul Lucas</t>
  </si>
  <si>
    <t>Shandong</t>
  </si>
  <si>
    <t>TEC-PH-10004402</t>
  </si>
  <si>
    <t>Cisco Headset, with Caller ID</t>
  </si>
  <si>
    <t>MX-2014-108889</t>
  </si>
  <si>
    <t>OFF-PA-10002927</t>
  </si>
  <si>
    <t>Enermax Computer Printout Paper, 8.5 x 11</t>
  </si>
  <si>
    <t>IN-2013-49367</t>
  </si>
  <si>
    <t>Liz MacKendrick</t>
  </si>
  <si>
    <t>Hokkaido</t>
  </si>
  <si>
    <t>OFF-EN-10000383</t>
  </si>
  <si>
    <t>Ames Clasp Envelope, Recycled</t>
  </si>
  <si>
    <t>CA-2011-119172</t>
  </si>
  <si>
    <t>OFF-BI-10002026</t>
  </si>
  <si>
    <t>Avery Arch Ring Binders</t>
  </si>
  <si>
    <t>RS-2013-3080</t>
  </si>
  <si>
    <t>FUR-ADV-10002601</t>
  </si>
  <si>
    <t>Advantus Photo Frame, Erganomic</t>
  </si>
  <si>
    <t>ES-2013-1534120</t>
  </si>
  <si>
    <t>Schleswig-Holstein</t>
  </si>
  <si>
    <t>TEC-MA-10003927</t>
  </si>
  <si>
    <t>StarTech Inkjet, Wireless</t>
  </si>
  <si>
    <t>ES-2014-2505511</t>
  </si>
  <si>
    <t>Mary Zewe</t>
  </si>
  <si>
    <t>SkÃ¥ne</t>
  </si>
  <si>
    <t>TEC-CO-10002284</t>
  </si>
  <si>
    <t>CA-2011-101833</t>
  </si>
  <si>
    <t>OFF-PA-10003591</t>
  </si>
  <si>
    <t>Southworth 100% Cotton The Best Paper</t>
  </si>
  <si>
    <t>ES-2014-3785216</t>
  </si>
  <si>
    <t>Harry Greene</t>
  </si>
  <si>
    <t>FUR-CH-10002891</t>
  </si>
  <si>
    <t>MX-2012-153157</t>
  </si>
  <si>
    <t>FUR-CH-10001795</t>
  </si>
  <si>
    <t>SAFCO Steel Folding Chair, Red</t>
  </si>
  <si>
    <t>ES-2013-4034655</t>
  </si>
  <si>
    <t>IN-2011-62037</t>
  </si>
  <si>
    <t>FUR-CH-10003861</t>
  </si>
  <si>
    <t>Novimex Rocking Chair, Set of Two</t>
  </si>
  <si>
    <t>MX-2014-113586</t>
  </si>
  <si>
    <t>FUR-TA-10003171</t>
  </si>
  <si>
    <t>Bevis Training Table, Fully Assembled</t>
  </si>
  <si>
    <t>US-2014-128118</t>
  </si>
  <si>
    <t>OFF-EN-10003448</t>
  </si>
  <si>
    <t>Peel &amp; Seel Recycled Catalog Envelopes, Brown</t>
  </si>
  <si>
    <t>MX-2012-143343</t>
  </si>
  <si>
    <t>Quezaltenango</t>
  </si>
  <si>
    <t>FUR-FU-10002800</t>
  </si>
  <si>
    <t>Tenex Photo Frame, Erganomic</t>
  </si>
  <si>
    <t>MO-2014-6060</t>
  </si>
  <si>
    <t>Phillina Ober</t>
  </si>
  <si>
    <t>OFF-ROG-10004949</t>
  </si>
  <si>
    <t>Rogers Shelving, Industrial</t>
  </si>
  <si>
    <t>CA-2013-119963</t>
  </si>
  <si>
    <t>Steve Nguyen</t>
  </si>
  <si>
    <t>OFF-LA-10003510</t>
  </si>
  <si>
    <t>Avery 4027 File Folder Labels for Dot Matrix Printers, 5000 Labels per Box, White</t>
  </si>
  <si>
    <t>IN-2012-69870</t>
  </si>
  <si>
    <t>FUR-CH-10004196</t>
  </si>
  <si>
    <t>Novimex Swivel Stool, Red</t>
  </si>
  <si>
    <t>IN-2012-46259</t>
  </si>
  <si>
    <t>Delhi</t>
  </si>
  <si>
    <t>OFF-PA-10000344</t>
  </si>
  <si>
    <t>SanDisk Memo Slips, 8.5 x 11</t>
  </si>
  <si>
    <t>CA-2013-110772</t>
  </si>
  <si>
    <t>FUR-BO-10004709</t>
  </si>
  <si>
    <t>Bush Westfield Collection Bookcases, Medium Cherry Finish</t>
  </si>
  <si>
    <t>BU-2012-1110</t>
  </si>
  <si>
    <t>FUR-NOV-10004962</t>
  </si>
  <si>
    <t>Novimex Bag Chairs, Adjustable</t>
  </si>
  <si>
    <t>ES-2014-4472745</t>
  </si>
  <si>
    <t>Bart Watters</t>
  </si>
  <si>
    <t>Asturias</t>
  </si>
  <si>
    <t>OFF-AP-10004511</t>
  </si>
  <si>
    <t>Cuisinart Refrigerator, Black</t>
  </si>
  <si>
    <t>CA-2013-106915</t>
  </si>
  <si>
    <t>George Ashbrook</t>
  </si>
  <si>
    <t>OFF-AR-10000716</t>
  </si>
  <si>
    <t>DIXON Ticonderoga Erasable Checking Pencils</t>
  </si>
  <si>
    <t>IR-2012-5410</t>
  </si>
  <si>
    <t>Juliana Krohn</t>
  </si>
  <si>
    <t>OFF-BI-10003068</t>
  </si>
  <si>
    <t>US-2013-164119</t>
  </si>
  <si>
    <t>OFF-AR-10001244</t>
  </si>
  <si>
    <t>BIC Canvas, Easy-Erase</t>
  </si>
  <si>
    <t>CA-2012-135853</t>
  </si>
  <si>
    <t>OFF-BI-10004965</t>
  </si>
  <si>
    <t>Ibico Covers for Plastic or Wire Binding Elements</t>
  </si>
  <si>
    <t>IT-2014-5393609</t>
  </si>
  <si>
    <t>Caroline Jumper</t>
  </si>
  <si>
    <t>OFF-ST-10004020</t>
  </si>
  <si>
    <t>Tenex Lockers, Single Width</t>
  </si>
  <si>
    <t>IN-2014-47337</t>
  </si>
  <si>
    <t>Kabul</t>
  </si>
  <si>
    <t>Afghanistan</t>
  </si>
  <si>
    <t>TEC-PH-10002806</t>
  </si>
  <si>
    <t>ID-2013-17097</t>
  </si>
  <si>
    <t>OFF-LA-10002939</t>
  </si>
  <si>
    <t>MX-2012-118185</t>
  </si>
  <si>
    <t>Ryan Crowe</t>
  </si>
  <si>
    <t>MX-2012-134110</t>
  </si>
  <si>
    <t>CearÃ¡</t>
  </si>
  <si>
    <t>OFF-AR-10002380</t>
  </si>
  <si>
    <t>CA-2011-139451</t>
  </si>
  <si>
    <t>OFF-AR-10002053</t>
  </si>
  <si>
    <t>Premium Writing Pencils, Soft, #2 by Central Association for the Blind</t>
  </si>
  <si>
    <t>CA-2013-136686</t>
  </si>
  <si>
    <t>OFF-AP-10002350</t>
  </si>
  <si>
    <t>Belkin F9H710-06 7 Outlet SurgeMaster Surge Protector</t>
  </si>
  <si>
    <t>ID-2014-71403</t>
  </si>
  <si>
    <t>OFF-AR-10002665</t>
  </si>
  <si>
    <t>Binney &amp; Smith Markers, Easy-Erase</t>
  </si>
  <si>
    <t>IN-2014-79173</t>
  </si>
  <si>
    <t>OFF-AR-10002897</t>
  </si>
  <si>
    <t>BIC Markers, Water Color</t>
  </si>
  <si>
    <t>ID-2012-41380</t>
  </si>
  <si>
    <t>OFF-PA-10004648</t>
  </si>
  <si>
    <t>Xerox Message Books, Recycled</t>
  </si>
  <si>
    <t>MX-2012-128755</t>
  </si>
  <si>
    <t>OFF-AR-10003829</t>
  </si>
  <si>
    <t>Boston Highlighters, Water Color</t>
  </si>
  <si>
    <t>US-2013-130379</t>
  </si>
  <si>
    <t>Kean Nguyen</t>
  </si>
  <si>
    <t>OFF-AR-10003816</t>
  </si>
  <si>
    <t>Binney &amp; Smith Highlighters, Easy-Erase</t>
  </si>
  <si>
    <t>MX-2013-107650</t>
  </si>
  <si>
    <t>OFF-FA-10001337</t>
  </si>
  <si>
    <t>ES-2013-1394541</t>
  </si>
  <si>
    <t>Tony Molinari</t>
  </si>
  <si>
    <t>ES-2013-2212734</t>
  </si>
  <si>
    <t>OFF-BI-10001754</t>
  </si>
  <si>
    <t>Ibico Binder Covers, Recycled</t>
  </si>
  <si>
    <t>CA-2011-166730</t>
  </si>
  <si>
    <t>OFF-ST-10002554</t>
  </si>
  <si>
    <t>Tennsco Industrial Shelving</t>
  </si>
  <si>
    <t>CA-2014-156664</t>
  </si>
  <si>
    <t>Beth Paige</t>
  </si>
  <si>
    <t>OFF-FA-10002988</t>
  </si>
  <si>
    <t>Ideal Clamps</t>
  </si>
  <si>
    <t>EG-2013-4270</t>
  </si>
  <si>
    <t>OFF-FEL-10004974</t>
  </si>
  <si>
    <t>IN-2013-11518</t>
  </si>
  <si>
    <t>Ralph Ritter</t>
  </si>
  <si>
    <t>Kerala</t>
  </si>
  <si>
    <t>OFF-PA-10003969</t>
  </si>
  <si>
    <t>Green Bar Note Cards, 8.5 x 11</t>
  </si>
  <si>
    <t>CG-2012-8310</t>
  </si>
  <si>
    <t>Barry Weirich</t>
  </si>
  <si>
    <t>TEC-ENE-10000817</t>
  </si>
  <si>
    <t>CA-2011-141607</t>
  </si>
  <si>
    <t>William Brown</t>
  </si>
  <si>
    <t>FUR-FU-10003975</t>
  </si>
  <si>
    <t>Eldon Advantage Chair Mats for Low to Medium Pile Carpets</t>
  </si>
  <si>
    <t>ES-2014-2688044</t>
  </si>
  <si>
    <t>Annie Thurman</t>
  </si>
  <si>
    <t>OFF-AR-10001461</t>
  </si>
  <si>
    <t>BIC Canvas, Water Color</t>
  </si>
  <si>
    <t>MX-2011-139731</t>
  </si>
  <si>
    <t>FUR-FU-10002818</t>
  </si>
  <si>
    <t>Advantus Stacking Tray, Black</t>
  </si>
  <si>
    <t>CA-2012-126347</t>
  </si>
  <si>
    <t>TEC-AC-10003063</t>
  </si>
  <si>
    <t>Micro Innovations USB RF Wireless Keyboard with Mouse</t>
  </si>
  <si>
    <t>IN-2014-75603</t>
  </si>
  <si>
    <t>OFF-SU-10001618</t>
  </si>
  <si>
    <t>TU-2014-220</t>
  </si>
  <si>
    <t>Robert Marley</t>
  </si>
  <si>
    <t>Gaziantep</t>
  </si>
  <si>
    <t>OFF-OIC-10001056</t>
  </si>
  <si>
    <t>OIC Clamps, 12 Pack</t>
  </si>
  <si>
    <t>CG-2013-8200</t>
  </si>
  <si>
    <t>Kasai-Occidental</t>
  </si>
  <si>
    <t>TEC-ENE-10000895</t>
  </si>
  <si>
    <t>Enermax Mouse, Bluetooth</t>
  </si>
  <si>
    <t>IN-2013-56416</t>
  </si>
  <si>
    <t>Heilongjiang</t>
  </si>
  <si>
    <t>OFF-EN-10002007</t>
  </si>
  <si>
    <t>EG-2011-3420</t>
  </si>
  <si>
    <t>OFF-HOO-10002386</t>
  </si>
  <si>
    <t>IN-2011-48009</t>
  </si>
  <si>
    <t>TEC-MA-10001627</t>
  </si>
  <si>
    <t>Konica Printer, White</t>
  </si>
  <si>
    <t>CA-2011-168368</t>
  </si>
  <si>
    <t>Guy Armstrong</t>
  </si>
  <si>
    <t>OFF-ST-10002583</t>
  </si>
  <si>
    <t>Fellowes Neat Ideas Storage Cubes</t>
  </si>
  <si>
    <t>NI-2014-3370</t>
  </si>
  <si>
    <t>OFF-SME-10001853</t>
  </si>
  <si>
    <t>Smead Folders, Blue</t>
  </si>
  <si>
    <t>US-2013-119928</t>
  </si>
  <si>
    <t>FUR-FU-10003901</t>
  </si>
  <si>
    <t>CA-2012-128083</t>
  </si>
  <si>
    <t>OFF-EN-10004030</t>
  </si>
  <si>
    <t>Convenience Packs of Business Envelopes</t>
  </si>
  <si>
    <t>TU-2014-4510</t>
  </si>
  <si>
    <t>Konya</t>
  </si>
  <si>
    <t>OFF-STA-10001636</t>
  </si>
  <si>
    <t>ES-2014-5605089</t>
  </si>
  <si>
    <t>OFF-AR-10002255</t>
  </si>
  <si>
    <t>Boston Sketch Pad, Water Color</t>
  </si>
  <si>
    <t>IT-2013-1215824</t>
  </si>
  <si>
    <t>Rose O'Brian</t>
  </si>
  <si>
    <t>Brandenburg</t>
  </si>
  <si>
    <t>OFF-AR-10002116</t>
  </si>
  <si>
    <t>MX-2014-152891</t>
  </si>
  <si>
    <t>FUR-TA-10001602</t>
  </si>
  <si>
    <t>Barricks Round Table, Adjustable Height</t>
  </si>
  <si>
    <t>OFF-ST-10001824</t>
  </si>
  <si>
    <t>CA-2014-119578</t>
  </si>
  <si>
    <t>Jason Gross</t>
  </si>
  <si>
    <t>FUR-BO-10003660</t>
  </si>
  <si>
    <t>Bush Cubix Collection Bookcases, Fully Assembled</t>
  </si>
  <si>
    <t>CA-2012-139962</t>
  </si>
  <si>
    <t>Massachusetts</t>
  </si>
  <si>
    <t>OFF-BI-10004738</t>
  </si>
  <si>
    <t>Flexible Leather- Look Classic Collection Ring Binder</t>
  </si>
  <si>
    <t>IN-2014-69457</t>
  </si>
  <si>
    <t>Zhejiang</t>
  </si>
  <si>
    <t>OFF-PA-10004741</t>
  </si>
  <si>
    <t>SanDisk Cards &amp; Envelopes, 8.5 x 11</t>
  </si>
  <si>
    <t>OFF-SAN-10001634</t>
  </si>
  <si>
    <t>Sanford Canvas, Easy-Erase</t>
  </si>
  <si>
    <t>ES-2014-2388184</t>
  </si>
  <si>
    <t>OFF-AR-10000184</t>
  </si>
  <si>
    <t>Boston Pencil Sharpener, Water Color</t>
  </si>
  <si>
    <t>ES-2013-1225665</t>
  </si>
  <si>
    <t>OFF-AR-10000316</t>
  </si>
  <si>
    <t>Stanley Pens, Blue</t>
  </si>
  <si>
    <t>IV-2013-4490</t>
  </si>
  <si>
    <t>Lagunes</t>
  </si>
  <si>
    <t>TEC-MEM-10000582</t>
  </si>
  <si>
    <t>Memorex Flash Drive, Bluetooth</t>
  </si>
  <si>
    <t>IN-2014-82176</t>
  </si>
  <si>
    <t>FUR-TA-10001558</t>
  </si>
  <si>
    <t>US-2014-128587</t>
  </si>
  <si>
    <t>FUR-BO-10001201</t>
  </si>
  <si>
    <t>Bush Stackable Bookrack, Mobile</t>
  </si>
  <si>
    <t>US-2011-108651</t>
  </si>
  <si>
    <t>OFF-AP-10003774</t>
  </si>
  <si>
    <t>Hoover Coffee Grinder, Black</t>
  </si>
  <si>
    <t>KZ-2012-4400</t>
  </si>
  <si>
    <t>Barry Franz</t>
  </si>
  <si>
    <t>Almaty City</t>
  </si>
  <si>
    <t>OFF-ELD-10001832</t>
  </si>
  <si>
    <t>Eldon Shelving, Single Width</t>
  </si>
  <si>
    <t>TU-2011-6820</t>
  </si>
  <si>
    <t>Rob Lucas</t>
  </si>
  <si>
    <t>Mersin</t>
  </si>
  <si>
    <t>FUR-HON-10001847</t>
  </si>
  <si>
    <t>MX-2012-115504</t>
  </si>
  <si>
    <t>OFF-EN-10001538</t>
  </si>
  <si>
    <t>Jiffy Peel and Seal, Recycled</t>
  </si>
  <si>
    <t>ES-2011-1831867</t>
  </si>
  <si>
    <t>Giulietta Baptist</t>
  </si>
  <si>
    <t>OFF-SU-10000171</t>
  </si>
  <si>
    <t>Elite Trimmer, Easy Grip</t>
  </si>
  <si>
    <t>ES-2011-2417338</t>
  </si>
  <si>
    <t>TEC-MA-10002660</t>
  </si>
  <si>
    <t>Epson Phone, White</t>
  </si>
  <si>
    <t>MX-2011-143168</t>
  </si>
  <si>
    <t>Huehuetenango</t>
  </si>
  <si>
    <t>TEC-CO-10001933</t>
  </si>
  <si>
    <t>HP Fax Machine, High-Speed</t>
  </si>
  <si>
    <t>OFF-BI-10002935</t>
  </si>
  <si>
    <t>IN-2012-60385</t>
  </si>
  <si>
    <t>TEC-MA-10002871</t>
  </si>
  <si>
    <t>MX-2013-145303</t>
  </si>
  <si>
    <t>Villa Clara</t>
  </si>
  <si>
    <t>TEC-MA-10004956</t>
  </si>
  <si>
    <t>Konica Card Printer, Red</t>
  </si>
  <si>
    <t>ES-2011-3091823</t>
  </si>
  <si>
    <t>Pauline Johnson</t>
  </si>
  <si>
    <t>FUR-BO-10002892</t>
  </si>
  <si>
    <t>ES-2011-2470488</t>
  </si>
  <si>
    <t>OFF-PA-10002971</t>
  </si>
  <si>
    <t>Eaton Memo Slips, Recycled</t>
  </si>
  <si>
    <t>MX-2013-149937</t>
  </si>
  <si>
    <t>Max Engle</t>
  </si>
  <si>
    <t>Sonora</t>
  </si>
  <si>
    <t>OFF-EN-10004410</t>
  </si>
  <si>
    <t>CA-2013-101168</t>
  </si>
  <si>
    <t>New Hampshire</t>
  </si>
  <si>
    <t>FUR-FU-10003142</t>
  </si>
  <si>
    <t>Master Big Foot Doorstop, Beige</t>
  </si>
  <si>
    <t>SF-2014-9190</t>
  </si>
  <si>
    <t>Fred Harton</t>
  </si>
  <si>
    <t>OFF-BIN-10000901</t>
  </si>
  <si>
    <t>Binney &amp; Smith Pens, Water Color</t>
  </si>
  <si>
    <t>IN-2014-48814</t>
  </si>
  <si>
    <t>Maria Etezadi</t>
  </si>
  <si>
    <t>FUR-FU-10003918</t>
  </si>
  <si>
    <t>Advantus Photo Frame, Black</t>
  </si>
  <si>
    <t>IN-2014-78116</t>
  </si>
  <si>
    <t>Daniel Lacy</t>
  </si>
  <si>
    <t>OFF-BI-10004700</t>
  </si>
  <si>
    <t>Cardinal Binder, Durable</t>
  </si>
  <si>
    <t>ID-2011-26596</t>
  </si>
  <si>
    <t>F.C.T.</t>
  </si>
  <si>
    <t>OFF-LA-10003236</t>
  </si>
  <si>
    <t>Hon Round Labels, Adjustable</t>
  </si>
  <si>
    <t>CA-2014-154116</t>
  </si>
  <si>
    <t>OFF-PA-10004569</t>
  </si>
  <si>
    <t>Wirebound Message Books, Two 4 1/4" x 5" Forms per Page</t>
  </si>
  <si>
    <t>ES-2011-1460199</t>
  </si>
  <si>
    <t>OFF-BI-10000081</t>
  </si>
  <si>
    <t>Ibico Index Tab, Clear</t>
  </si>
  <si>
    <t>SG-2014-3780</t>
  </si>
  <si>
    <t>Trudy Schmidt</t>
  </si>
  <si>
    <t>Dakar</t>
  </si>
  <si>
    <t>TEC-MOT-10001196</t>
  </si>
  <si>
    <t>Motorola Audio Dock, Cordless</t>
  </si>
  <si>
    <t>ES-2011-4715440</t>
  </si>
  <si>
    <t>Neil Knudson</t>
  </si>
  <si>
    <t>OFF-AR-10003113</t>
  </si>
  <si>
    <t>Binney &amp; Smith Pens, Blue</t>
  </si>
  <si>
    <t>CA-2014-103443</t>
  </si>
  <si>
    <t>OFF-ST-10002276</t>
  </si>
  <si>
    <t>Safco Steel Mobile File Cart</t>
  </si>
  <si>
    <t>IN-2014-23929</t>
  </si>
  <si>
    <t>FUR-FU-10002648</t>
  </si>
  <si>
    <t>IN-2014-81532</t>
  </si>
  <si>
    <t>OFF-AR-10001074</t>
  </si>
  <si>
    <t>IT-2013-5913315</t>
  </si>
  <si>
    <t>Carol Darley</t>
  </si>
  <si>
    <t>FUR-CH-10003362</t>
  </si>
  <si>
    <t>US-2014-147368</t>
  </si>
  <si>
    <t>OFF-ST-10002902</t>
  </si>
  <si>
    <t>US-2012-134558</t>
  </si>
  <si>
    <t>OFF-PA-10001184</t>
  </si>
  <si>
    <t>Xerox 1903</t>
  </si>
  <si>
    <t>AJ-2014-6800</t>
  </si>
  <si>
    <t>Baki</t>
  </si>
  <si>
    <t>Azerbaijan</t>
  </si>
  <si>
    <t>FUR-DEF-10000720</t>
  </si>
  <si>
    <t>MX-2012-131128</t>
  </si>
  <si>
    <t>Bradley Nguyen</t>
  </si>
  <si>
    <t>OFF-FA-10004920</t>
  </si>
  <si>
    <t>Accos Rubber Bands, Metal</t>
  </si>
  <si>
    <t>IN-2012-29137</t>
  </si>
  <si>
    <t>OFF-AR-10003875</t>
  </si>
  <si>
    <t>Stanley Highlighters, Easy-Erase</t>
  </si>
  <si>
    <t>IN-2011-24832</t>
  </si>
  <si>
    <t>Carlos Daly</t>
  </si>
  <si>
    <t>OFF-PA-10004573</t>
  </si>
  <si>
    <t>Enermax Memo Slips, Premium</t>
  </si>
  <si>
    <t>MX-2013-108553</t>
  </si>
  <si>
    <t>TEC-AC-10001756</t>
  </si>
  <si>
    <t>IN-2013-76835</t>
  </si>
  <si>
    <t>Ralph Arnett</t>
  </si>
  <si>
    <t>OFF-PA-10000215</t>
  </si>
  <si>
    <t>Eaton Parchment Paper, Premium</t>
  </si>
  <si>
    <t>MD-2013-5670</t>
  </si>
  <si>
    <t>Chisinau</t>
  </si>
  <si>
    <t>Moldova</t>
  </si>
  <si>
    <t>FUR-BUS-10004854</t>
  </si>
  <si>
    <t>Bush Floating Shelf Set, Pine</t>
  </si>
  <si>
    <t>IT-2012-4790620</t>
  </si>
  <si>
    <t>Maureen Gastineau</t>
  </si>
  <si>
    <t>TEC-CO-10000013</t>
  </si>
  <si>
    <t>CA-2013-127775</t>
  </si>
  <si>
    <t>Total Revenue</t>
  </si>
  <si>
    <t>Total Profit</t>
  </si>
  <si>
    <t>Total Orders</t>
  </si>
  <si>
    <t>Total Customers</t>
  </si>
  <si>
    <t>Avg Order Value</t>
  </si>
  <si>
    <t>Profit Margin</t>
  </si>
  <si>
    <t>Sum of sales</t>
  </si>
  <si>
    <t>Row Labels</t>
  </si>
  <si>
    <t>Grand Total</t>
  </si>
  <si>
    <t>Sum of profit</t>
  </si>
  <si>
    <t>2011</t>
  </si>
  <si>
    <t>2012</t>
  </si>
  <si>
    <t>2013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</si>
  <si>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</si>
  <si>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</si>
  <si>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</si>
  <si>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</si>
  <si>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</si>
  <si>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</si>
  <si>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</si>
  <si>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</si>
  <si>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</si>
  <si>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</si>
  <si>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</si>
  <si>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</si>
  <si>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</si>
  <si>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profit</t>
  </si>
  <si>
    <t>0-0.1</t>
  </si>
  <si>
    <t>0.1-0.2</t>
  </si>
  <si>
    <t>0.2-0.3</t>
  </si>
  <si>
    <t>0.3-0.4</t>
  </si>
  <si>
    <t>0.4-0.5</t>
  </si>
  <si>
    <t>0.5-0.6</t>
  </si>
  <si>
    <t>0.6-0.7</t>
  </si>
  <si>
    <t>0.7-0.8</t>
  </si>
  <si>
    <t>KPI's</t>
  </si>
  <si>
    <t>Discount</t>
  </si>
  <si>
    <t>Retail Sales Analysis — Executive Summary</t>
  </si>
  <si>
    <t>Problem</t>
  </si>
  <si>
    <t>Key KPIs</t>
  </si>
  <si>
    <t>This analysis examines Superstore's order data to identify which regions, categories,and products drive profit versus just revenue, and how discounting affects margins.</t>
  </si>
  <si>
    <t>Revenue: $262,795   |   Profit: $29,562 (11.2% margin)   |   Orders: 987   |   Customers: 556   |   Avg Order Value: $266.26</t>
  </si>
  <si>
    <t>Key Insights</t>
  </si>
  <si>
    <t>Central region leads in revenue (~$60.8K), but Africa has the strongest profit-to-sales ratio.</t>
  </si>
  <si>
    <t>Furniture generates nearly as much revenue as Office Supplies but only a fraction of the profit.</t>
  </si>
  <si>
    <t>Southeast Asia is unprofitable overall (~-$401 profit) despite ~$16.9K in sales.</t>
  </si>
  <si>
    <t>Tables specifically lose money (~-$2,015 total profit) — the main drag on Furniture.</t>
  </si>
  <si>
    <t>Discounts above ~20% push average profit negative; 0–10% is the healthiest range.</t>
  </si>
  <si>
    <t>Recommendations</t>
  </si>
  <si>
    <t>Review pricing or supplier cost on Tables and other loss-making sub-categories.</t>
  </si>
  <si>
    <t>Cap standard discounting around 10–15%.</t>
  </si>
  <si>
    <t>Investigate Southeast Asia's cost structure to understand the loss.</t>
  </si>
  <si>
    <t>Double down on high-margin regions/categories (Africa, Office Supplies) for growth.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</si>
</sst>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 applyAlignment="1">
      <alignment horizontal="left"/>
    </xf>
    <xf numFmtId="0" fontId="0" fillId="0" borderId="0" xfId="0" applyAlignment="1"/>
    <xf numFmtId="0" fontId="19" fillId="0" borderId="0" xfId="0" applyFont="1" applyAlignment="1"/>
    <xf numFmtId="0" fontId="20" fillId="0" borderId="0" xfId="0" applyFont="1" applyAlignment="1"/>
    <xf numFmtId="0" fontId="18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64" formatCode="&quot;$&quot;#,##0.00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[SuperStoreOrdersfi_cleaned_EDA.xlsx]Sales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Region'!$A$4:$A$17</c:f>
              <c:strCache>
                <c:ptCount val="13"/>
                <c:pt idx="0">
                  <c:v>Central</c:v>
                </c:pt>
                <c:pt idx="1">
                  <c:v>South</c:v>
                </c:pt>
                <c:pt idx="2">
                  <c:v>Oceania</c:v>
                </c:pt>
                <c:pt idx="3">
                  <c:v>North</c:v>
                </c:pt>
                <c:pt idx="4">
                  <c:v>Africa</c:v>
                </c:pt>
                <c:pt idx="5">
                  <c:v>EMEA</c:v>
                </c:pt>
                <c:pt idx="6">
                  <c:v>Southeast Asia</c:v>
                </c:pt>
                <c:pt idx="7">
                  <c:v>Central Asia</c:v>
                </c:pt>
                <c:pt idx="8">
                  <c:v>East</c:v>
                </c:pt>
                <c:pt idx="9">
                  <c:v>North Asia</c:v>
                </c:pt>
                <c:pt idx="10">
                  <c:v>West</c:v>
                </c:pt>
                <c:pt idx="11">
                  <c:v>Caribbean</c:v>
                </c:pt>
                <c:pt idx="12">
                  <c:v>Canada</c:v>
                </c:pt>
              </c:strCache>
            </c:strRef>
          </c:cat>
          <c:val>
            <c:numRef>
              <c:f>'Sales by Region'!$B$4:$B$17</c:f>
              <c:numCache>
                <c:formatCode>"$"#,##0.00</c:formatCode>
                <c:ptCount val="13"/>
                <c:pt idx="0">
                  <c:v>60804</c:v>
                </c:pt>
                <c:pt idx="1">
                  <c:v>36306</c:v>
                </c:pt>
                <c:pt idx="2">
                  <c:v>27394</c:v>
                </c:pt>
                <c:pt idx="3">
                  <c:v>23663</c:v>
                </c:pt>
                <c:pt idx="4">
                  <c:v>22162</c:v>
                </c:pt>
                <c:pt idx="5">
                  <c:v>19293</c:v>
                </c:pt>
                <c:pt idx="6">
                  <c:v>16882</c:v>
                </c:pt>
                <c:pt idx="7">
                  <c:v>14153</c:v>
                </c:pt>
                <c:pt idx="8">
                  <c:v>12068</c:v>
                </c:pt>
                <c:pt idx="9">
                  <c:v>11808</c:v>
                </c:pt>
                <c:pt idx="10">
                  <c:v>9983</c:v>
                </c:pt>
                <c:pt idx="11">
                  <c:v>7222</c:v>
                </c:pt>
                <c:pt idx="12">
                  <c:v>1057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3-46D1-98FD-9B8CAE7508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000224"/>
        <c:axId val="135983904"/>
      </c:barChart>
      <c:catAx>
        <c:axId val="13600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83904"/>
        <c:crosses val="autoZero"/>
        <c:auto val="1"/>
        <c:lblAlgn val="ctr"/>
        <c:lblOffset val="100"/>
        <c:noMultiLvlLbl val="0"/>
      </c:catAx>
      <c:valAx>
        <c:axId val="1359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0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[SuperStoreOrdersfi_cleaned_EDA.xlsx]Profit by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Region'!$A$4:$A$17</c:f>
              <c:strCache>
                <c:ptCount val="13"/>
                <c:pt idx="0">
                  <c:v>Africa</c:v>
                </c:pt>
                <c:pt idx="1">
                  <c:v>Central</c:v>
                </c:pt>
                <c:pt idx="2">
                  <c:v>South</c:v>
                </c:pt>
                <c:pt idx="3">
                  <c:v>North</c:v>
                </c:pt>
                <c:pt idx="4">
                  <c:v>North Asia</c:v>
                </c:pt>
                <c:pt idx="5">
                  <c:v>East</c:v>
                </c:pt>
                <c:pt idx="6">
                  <c:v>Central Asia</c:v>
                </c:pt>
                <c:pt idx="7">
                  <c:v>EMEA</c:v>
                </c:pt>
                <c:pt idx="8">
                  <c:v>Oceania</c:v>
                </c:pt>
                <c:pt idx="9">
                  <c:v>West</c:v>
                </c:pt>
                <c:pt idx="10">
                  <c:v>Caribbean</c:v>
                </c:pt>
                <c:pt idx="11">
                  <c:v>Canada</c:v>
                </c:pt>
                <c:pt idx="12">
                  <c:v>Southeast Asia</c:v>
                </c:pt>
              </c:strCache>
            </c:strRef>
          </c:cat>
          <c:val>
            <c:numRef>
              <c:f>'Profit by Region'!$B$4:$B$17</c:f>
              <c:numCache>
                <c:formatCode>"$"#,##0.00</c:formatCode>
                <c:ptCount val="13"/>
                <c:pt idx="0">
                  <c:v>4925.0699999999979</c:v>
                </c:pt>
                <c:pt idx="1">
                  <c:v>4260.5027799999989</c:v>
                </c:pt>
                <c:pt idx="2">
                  <c:v>3271.535640000001</c:v>
                </c:pt>
                <c:pt idx="3">
                  <c:v>3148.1989999999996</c:v>
                </c:pt>
                <c:pt idx="4">
                  <c:v>3069.2100000000009</c:v>
                </c:pt>
                <c:pt idx="5">
                  <c:v>2235.2208000000001</c:v>
                </c:pt>
                <c:pt idx="6">
                  <c:v>2225.9250000000006</c:v>
                </c:pt>
                <c:pt idx="7">
                  <c:v>2125.6619999999998</c:v>
                </c:pt>
                <c:pt idx="8">
                  <c:v>2006.1180000000008</c:v>
                </c:pt>
                <c:pt idx="9">
                  <c:v>1998.9930000000004</c:v>
                </c:pt>
                <c:pt idx="10">
                  <c:v>409.56619999999998</c:v>
                </c:pt>
                <c:pt idx="11">
                  <c:v>287.45999999999998</c:v>
                </c:pt>
                <c:pt idx="12">
                  <c:v>-401.0954999999999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0-4EC9-9727-DACFA37353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024704"/>
        <c:axId val="136028544"/>
      </c:barChart>
      <c:catAx>
        <c:axId val="13602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8544"/>
        <c:crosses val="autoZero"/>
        <c:auto val="1"/>
        <c:lblAlgn val="ctr"/>
        <c:lblOffset val="100"/>
        <c:noMultiLvlLbl val="0"/>
      </c:catAx>
      <c:valAx>
        <c:axId val="13602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[SuperStoreOrdersfi_cleaned_EDA.xlsx]Sales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'Sales by Category'!$B$4:$B$7</c:f>
              <c:numCache>
                <c:formatCode>"$"#,##0.00</c:formatCode>
                <c:ptCount val="3"/>
                <c:pt idx="0">
                  <c:v>98868</c:v>
                </c:pt>
                <c:pt idx="1">
                  <c:v>82707</c:v>
                </c:pt>
                <c:pt idx="2">
                  <c:v>81220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2-4BD5-A8CA-1B1DDB8D34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010304"/>
        <c:axId val="136011744"/>
      </c:barChart>
      <c:catAx>
        <c:axId val="13601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1744"/>
        <c:crosses val="autoZero"/>
        <c:auto val="1"/>
        <c:lblAlgn val="ctr"/>
        <c:lblOffset val="100"/>
        <c:noMultiLvlLbl val="0"/>
      </c:catAx>
      <c:valAx>
        <c:axId val="1360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[SuperStoreOrdersfi_cleaned_EDA.xlsx]Profit by Category!PivotTable4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Category'!$A$4:$A$7</c:f>
              <c:strCache>
                <c:ptCount val="3"/>
                <c:pt idx="0">
                  <c:v>Office Supplies</c:v>
                </c:pt>
                <c:pt idx="1">
                  <c:v>Technology</c:v>
                </c:pt>
                <c:pt idx="2">
                  <c:v>Furniture</c:v>
                </c:pt>
              </c:strCache>
            </c:strRef>
          </c:cat>
          <c:val>
            <c:numRef>
              <c:f>'Profit by Category'!$B$4:$B$7</c:f>
              <c:numCache>
                <c:formatCode>"$"#,##0.00</c:formatCode>
                <c:ptCount val="3"/>
                <c:pt idx="0">
                  <c:v>13764.278</c:v>
                </c:pt>
                <c:pt idx="1">
                  <c:v>12518.137120000003</c:v>
                </c:pt>
                <c:pt idx="2">
                  <c:v>3279.9518000000003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6-4E8F-8DB8-2028157E5C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027584"/>
        <c:axId val="136018944"/>
      </c:barChart>
      <c:catAx>
        <c:axId val="13602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8944"/>
        <c:crosses val="autoZero"/>
        <c:auto val="1"/>
        <c:lblAlgn val="ctr"/>
        <c:lblOffset val="100"/>
        <c:noMultiLvlLbl val="0"/>
      </c:catAx>
      <c:valAx>
        <c:axId val="13601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[SuperStoreOrdersfi_cleaned_EDA.xlsx]Monthly Trend!PivotTable5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</c:lvl>
              </c:multiLvlStrCache>
            </c:multiLvlStrRef>
          </c:cat>
          <c:val>
            <c:numRef>
              <c:f>'Monthly Trend'!$B$4:$B$56</c:f>
              <c:numCache>
                <c:formatCode>"$"#,##0.00</c:formatCode>
                <c:ptCount val="48"/>
                <c:pt idx="0">
                  <c:v>6038</c:v>
                </c:pt>
                <c:pt idx="1">
                  <c:v>5134</c:v>
                </c:pt>
                <c:pt idx="2">
                  <c:v>4007</c:v>
                </c:pt>
                <c:pt idx="3">
                  <c:v>1792</c:v>
                </c:pt>
                <c:pt idx="4">
                  <c:v>8186</c:v>
                </c:pt>
                <c:pt idx="5">
                  <c:v>2667</c:v>
                </c:pt>
                <c:pt idx="6">
                  <c:v>3922</c:v>
                </c:pt>
                <c:pt idx="7">
                  <c:v>6665</c:v>
                </c:pt>
                <c:pt idx="8">
                  <c:v>4087</c:v>
                </c:pt>
                <c:pt idx="9">
                  <c:v>5071</c:v>
                </c:pt>
                <c:pt idx="10">
                  <c:v>4661</c:v>
                </c:pt>
                <c:pt idx="11">
                  <c:v>8284</c:v>
                </c:pt>
                <c:pt idx="12">
                  <c:v>5480</c:v>
                </c:pt>
                <c:pt idx="13">
                  <c:v>3489</c:v>
                </c:pt>
                <c:pt idx="14">
                  <c:v>3583</c:v>
                </c:pt>
                <c:pt idx="15">
                  <c:v>3694</c:v>
                </c:pt>
                <c:pt idx="16">
                  <c:v>3707</c:v>
                </c:pt>
                <c:pt idx="17">
                  <c:v>7451</c:v>
                </c:pt>
                <c:pt idx="18">
                  <c:v>4021</c:v>
                </c:pt>
                <c:pt idx="19">
                  <c:v>4803</c:v>
                </c:pt>
                <c:pt idx="20">
                  <c:v>10501</c:v>
                </c:pt>
                <c:pt idx="21">
                  <c:v>2387</c:v>
                </c:pt>
                <c:pt idx="22">
                  <c:v>6850</c:v>
                </c:pt>
                <c:pt idx="23">
                  <c:v>3102</c:v>
                </c:pt>
                <c:pt idx="24">
                  <c:v>6827</c:v>
                </c:pt>
                <c:pt idx="25">
                  <c:v>5362</c:v>
                </c:pt>
                <c:pt idx="26">
                  <c:v>2627</c:v>
                </c:pt>
                <c:pt idx="27">
                  <c:v>6993</c:v>
                </c:pt>
                <c:pt idx="28">
                  <c:v>10282</c:v>
                </c:pt>
                <c:pt idx="29">
                  <c:v>6054</c:v>
                </c:pt>
                <c:pt idx="30">
                  <c:v>2981</c:v>
                </c:pt>
                <c:pt idx="31">
                  <c:v>8456</c:v>
                </c:pt>
                <c:pt idx="32">
                  <c:v>3158</c:v>
                </c:pt>
                <c:pt idx="33">
                  <c:v>3711</c:v>
                </c:pt>
                <c:pt idx="34">
                  <c:v>5660</c:v>
                </c:pt>
                <c:pt idx="35">
                  <c:v>1482</c:v>
                </c:pt>
                <c:pt idx="36">
                  <c:v>5839</c:v>
                </c:pt>
                <c:pt idx="37">
                  <c:v>7482</c:v>
                </c:pt>
                <c:pt idx="38">
                  <c:v>5431</c:v>
                </c:pt>
                <c:pt idx="39">
                  <c:v>3435</c:v>
                </c:pt>
                <c:pt idx="40">
                  <c:v>5072</c:v>
                </c:pt>
                <c:pt idx="41">
                  <c:v>7542</c:v>
                </c:pt>
                <c:pt idx="42">
                  <c:v>3122</c:v>
                </c:pt>
                <c:pt idx="43">
                  <c:v>13290</c:v>
                </c:pt>
                <c:pt idx="44">
                  <c:v>4976</c:v>
                </c:pt>
                <c:pt idx="45">
                  <c:v>5235</c:v>
                </c:pt>
                <c:pt idx="46">
                  <c:v>12951</c:v>
                </c:pt>
                <c:pt idx="47">
                  <c:v>5245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A-4B6D-8179-F19FE68F9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040064"/>
        <c:axId val="136032864"/>
      </c:lineChart>
      <c:catAx>
        <c:axId val="13604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2864"/>
        <c:crosses val="autoZero"/>
        <c:auto val="1"/>
        <c:lblAlgn val="ctr"/>
        <c:lblOffset val="100"/>
        <c:noMultiLvlLbl val="0"/>
      </c:catAx>
      <c:valAx>
        <c:axId val="13603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[SuperStoreOrdersfi_cleaned_EDA.xlsx]Top Products!PivotTable6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Products'!$A$4:$A$14</c:f>
              <c:strCache>
                <c:ptCount val="10"/>
                <c:pt idx="0">
                  <c:v>Hon Executive Leather Armchair, Adjustable</c:v>
                </c:pt>
                <c:pt idx="1">
                  <c:v>Hamilton Beach Stove, Silver</c:v>
                </c:pt>
                <c:pt idx="2">
                  <c:v>Samsung Galaxy Mega 6.3</c:v>
                </c:pt>
                <c:pt idx="3">
                  <c:v>Bush Library with Doors, Metal</c:v>
                </c:pt>
                <c:pt idx="4">
                  <c:v>Breville Refrigerator, White</c:v>
                </c:pt>
                <c:pt idx="5">
                  <c:v>Motorola Smart Phone, with Caller ID</c:v>
                </c:pt>
                <c:pt idx="6">
                  <c:v>Motorola Smart Phone, Full Size</c:v>
                </c:pt>
                <c:pt idx="7">
                  <c:v>Cisco Smart Phone, Cordless</c:v>
                </c:pt>
                <c:pt idx="8">
                  <c:v>Belkin Router, Erganomic</c:v>
                </c:pt>
                <c:pt idx="9">
                  <c:v>Fellowes PB500 Electric Punch Plastic Comb Binding Machine with Manual Bind</c:v>
                </c:pt>
              </c:strCache>
            </c:strRef>
          </c:cat>
          <c:val>
            <c:numRef>
              <c:f>'Top Products'!$B$4:$B$14</c:f>
              <c:numCache>
                <c:formatCode>"$"#,##0.00</c:formatCode>
                <c:ptCount val="10"/>
                <c:pt idx="0">
                  <c:v>8210</c:v>
                </c:pt>
                <c:pt idx="1">
                  <c:v>4507</c:v>
                </c:pt>
                <c:pt idx="2">
                  <c:v>4368</c:v>
                </c:pt>
                <c:pt idx="3">
                  <c:v>4351</c:v>
                </c:pt>
                <c:pt idx="4">
                  <c:v>3364</c:v>
                </c:pt>
                <c:pt idx="5">
                  <c:v>3228</c:v>
                </c:pt>
                <c:pt idx="6">
                  <c:v>3149</c:v>
                </c:pt>
                <c:pt idx="7">
                  <c:v>3127</c:v>
                </c:pt>
                <c:pt idx="8">
                  <c:v>3079</c:v>
                </c:pt>
                <c:pt idx="9">
                  <c:v>3050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E-4B1B-975C-A2BCC20CAA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038624"/>
        <c:axId val="136042464"/>
      </c:barChart>
      <c:catAx>
        <c:axId val="13603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2464"/>
        <c:crosses val="autoZero"/>
        <c:auto val="1"/>
        <c:lblAlgn val="ctr"/>
        <c:lblOffset val="100"/>
        <c:noMultiLvlLbl val="0"/>
      </c:catAx>
      <c:valAx>
        <c:axId val="13604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[SuperStoreOrdersfi_cleaned_EDA.xlsx]Top Customers!PivotTable7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Customers'!$A$4:$A$14</c:f>
              <c:strCache>
                <c:ptCount val="10"/>
                <c:pt idx="0">
                  <c:v>Harry Greene</c:v>
                </c:pt>
                <c:pt idx="1">
                  <c:v>Patrick O'Brill</c:v>
                </c:pt>
                <c:pt idx="2">
                  <c:v>Anne McFarland</c:v>
                </c:pt>
                <c:pt idx="3">
                  <c:v>Xylona Preis</c:v>
                </c:pt>
                <c:pt idx="4">
                  <c:v>Noah Childs</c:v>
                </c:pt>
                <c:pt idx="5">
                  <c:v>Joel Jenkins</c:v>
                </c:pt>
                <c:pt idx="6">
                  <c:v>Duane Huffman</c:v>
                </c:pt>
                <c:pt idx="7">
                  <c:v>Lisa Ryan</c:v>
                </c:pt>
                <c:pt idx="8">
                  <c:v>Robert Dilbeck</c:v>
                </c:pt>
                <c:pt idx="9">
                  <c:v>Scot Coram</c:v>
                </c:pt>
              </c:strCache>
            </c:strRef>
          </c:cat>
          <c:val>
            <c:numRef>
              <c:f>'Top Customers'!$B$4:$B$14</c:f>
              <c:numCache>
                <c:formatCode>"$"#,##0.00</c:formatCode>
                <c:ptCount val="10"/>
                <c:pt idx="0">
                  <c:v>5739</c:v>
                </c:pt>
                <c:pt idx="1">
                  <c:v>4659</c:v>
                </c:pt>
                <c:pt idx="2">
                  <c:v>4497</c:v>
                </c:pt>
                <c:pt idx="3">
                  <c:v>4254</c:v>
                </c:pt>
                <c:pt idx="4">
                  <c:v>4144</c:v>
                </c:pt>
                <c:pt idx="5">
                  <c:v>3481</c:v>
                </c:pt>
                <c:pt idx="6">
                  <c:v>3283</c:v>
                </c:pt>
                <c:pt idx="7">
                  <c:v>3228</c:v>
                </c:pt>
                <c:pt idx="8">
                  <c:v>3219</c:v>
                </c:pt>
                <c:pt idx="9">
                  <c:v>3215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6-48B7-B21F-C8BA3BA849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013184"/>
        <c:axId val="136010784"/>
      </c:barChart>
      <c:catAx>
        <c:axId val="13601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0784"/>
        <c:crosses val="autoZero"/>
        <c:auto val="1"/>
        <c:lblAlgn val="ctr"/>
        <c:lblOffset val="100"/>
        <c:noMultiLvlLbl val="0"/>
      </c:catAx>
      <c:valAx>
        <c:axId val="13601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[SuperStoreOrdersfi_cleaned_EDA.xlsx]Sales by Segment!PivotTable8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Segment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"$"#,##0.00</c:formatCode>
                <c:ptCount val="3"/>
                <c:pt idx="0">
                  <c:v>134145</c:v>
                </c:pt>
                <c:pt idx="1">
                  <c:v>76959</c:v>
                </c:pt>
                <c:pt idx="2">
                  <c:v>51691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D-4FDA-987C-55A4828141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030944"/>
        <c:axId val="136034304"/>
      </c:barChart>
      <c:catAx>
        <c:axId val="13603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4304"/>
        <c:crosses val="autoZero"/>
        <c:auto val="1"/>
        <c:lblAlgn val="ctr"/>
        <c:lblOffset val="100"/>
        <c:noMultiLvlLbl val="0"/>
      </c:catAx>
      <c:valAx>
        <c:axId val="13603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[SuperStoreOrdersfi_cleaned_EDA.xlsx]Profit by Segment!PivotTable1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'Profit by Segment'!$B$4:$B$7</c:f>
              <c:numCache>
                <c:formatCode>"$"#,##0.00</c:formatCode>
                <c:ptCount val="3"/>
                <c:pt idx="0">
                  <c:v>12125.907180000009</c:v>
                </c:pt>
                <c:pt idx="1">
                  <c:v>9424.6239799999912</c:v>
                </c:pt>
                <c:pt idx="2">
                  <c:v>8011.835759999999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403E-874C-5185A01B15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5897599"/>
        <c:axId val="1955914879"/>
      </c:barChart>
      <c:catAx>
        <c:axId val="195589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14879"/>
        <c:crosses val="autoZero"/>
        <c:auto val="1"/>
        <c:lblAlgn val="ctr"/>
        <c:lblOffset val="100"/>
        <c:noMultiLvlLbl val="0"/>
      </c:catAx>
      <c:valAx>
        <c:axId val="195591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89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[SuperStoreOrdersfi_cleaned_EDA.xlsx]Sales by SubCategory!PivotTable2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SubCategory'!$B$3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SubCategory'!$A$4:$A$21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Appliances</c:v>
                </c:pt>
                <c:pt idx="3">
                  <c:v>Bookcases</c:v>
                </c:pt>
                <c:pt idx="4">
                  <c:v>Copiers</c:v>
                </c:pt>
                <c:pt idx="5">
                  <c:v>Storage</c:v>
                </c:pt>
                <c:pt idx="6">
                  <c:v>Accessories</c:v>
                </c:pt>
                <c:pt idx="7">
                  <c:v>Machines</c:v>
                </c:pt>
                <c:pt idx="8">
                  <c:v>Tables</c:v>
                </c:pt>
                <c:pt idx="9">
                  <c:v>Binders</c:v>
                </c:pt>
                <c:pt idx="10">
                  <c:v>Art</c:v>
                </c:pt>
                <c:pt idx="11">
                  <c:v>Furnishings</c:v>
                </c:pt>
                <c:pt idx="12">
                  <c:v>Paper</c:v>
                </c:pt>
                <c:pt idx="13">
                  <c:v>Supplies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by SubCategory'!$B$4:$B$21</c:f>
              <c:numCache>
                <c:formatCode>"$"#,##0.00</c:formatCode>
                <c:ptCount val="17"/>
                <c:pt idx="0">
                  <c:v>37700</c:v>
                </c:pt>
                <c:pt idx="1">
                  <c:v>30052</c:v>
                </c:pt>
                <c:pt idx="2">
                  <c:v>28751</c:v>
                </c:pt>
                <c:pt idx="3">
                  <c:v>27324</c:v>
                </c:pt>
                <c:pt idx="4">
                  <c:v>25044</c:v>
                </c:pt>
                <c:pt idx="5">
                  <c:v>22408</c:v>
                </c:pt>
                <c:pt idx="6">
                  <c:v>19014</c:v>
                </c:pt>
                <c:pt idx="7">
                  <c:v>17110</c:v>
                </c:pt>
                <c:pt idx="8">
                  <c:v>16901</c:v>
                </c:pt>
                <c:pt idx="9">
                  <c:v>10777</c:v>
                </c:pt>
                <c:pt idx="10">
                  <c:v>7845</c:v>
                </c:pt>
                <c:pt idx="11">
                  <c:v>6943</c:v>
                </c:pt>
                <c:pt idx="12">
                  <c:v>4061</c:v>
                </c:pt>
                <c:pt idx="13">
                  <c:v>3031</c:v>
                </c:pt>
                <c:pt idx="14">
                  <c:v>2969</c:v>
                </c:pt>
                <c:pt idx="15">
                  <c:v>1581</c:v>
                </c:pt>
                <c:pt idx="16">
                  <c:v>1284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D-4D74-BEC8-548E28B595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5910559"/>
        <c:axId val="1955921119"/>
      </c:barChart>
      <c:catAx>
        <c:axId val="195591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21119"/>
        <c:crosses val="autoZero"/>
        <c:auto val="1"/>
        <c:lblAlgn val="ctr"/>
        <c:lblOffset val="100"/>
        <c:noMultiLvlLbl val="0"/>
      </c:catAx>
      <c:valAx>
        <c:axId val="195592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1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[SuperStoreOrdersfi_cleaned_EDA.xlsx]Profit by SubCategory!PivotTable3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Sub-Category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SubCategory'!$B$3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SubCategory'!$A$4:$A$21</c:f>
              <c:strCache>
                <c:ptCount val="17"/>
                <c:pt idx="0">
                  <c:v>Phones</c:v>
                </c:pt>
                <c:pt idx="1">
                  <c:v>Appliances</c:v>
                </c:pt>
                <c:pt idx="2">
                  <c:v>Accessories</c:v>
                </c:pt>
                <c:pt idx="3">
                  <c:v>Bookcases</c:v>
                </c:pt>
                <c:pt idx="4">
                  <c:v>Storage</c:v>
                </c:pt>
                <c:pt idx="5">
                  <c:v>Binders</c:v>
                </c:pt>
                <c:pt idx="6">
                  <c:v>Copiers</c:v>
                </c:pt>
                <c:pt idx="7">
                  <c:v>Paper</c:v>
                </c:pt>
                <c:pt idx="8">
                  <c:v>Furnishings</c:v>
                </c:pt>
                <c:pt idx="9">
                  <c:v>Machines</c:v>
                </c:pt>
                <c:pt idx="10">
                  <c:v>Art</c:v>
                </c:pt>
                <c:pt idx="11">
                  <c:v>Supplies</c:v>
                </c:pt>
                <c:pt idx="12">
                  <c:v>Envelopes</c:v>
                </c:pt>
                <c:pt idx="13">
                  <c:v>Chairs</c:v>
                </c:pt>
                <c:pt idx="14">
                  <c:v>Labels</c:v>
                </c:pt>
                <c:pt idx="15">
                  <c:v>Fasteners</c:v>
                </c:pt>
                <c:pt idx="16">
                  <c:v>Tables</c:v>
                </c:pt>
              </c:strCache>
            </c:strRef>
          </c:cat>
          <c:val>
            <c:numRef>
              <c:f>'Profit by SubCategory'!$B$4:$B$21</c:f>
              <c:numCache>
                <c:formatCode>"$"#,##0.00</c:formatCode>
                <c:ptCount val="17"/>
                <c:pt idx="0">
                  <c:v>5492.7904000000017</c:v>
                </c:pt>
                <c:pt idx="1">
                  <c:v>4216.423499999999</c:v>
                </c:pt>
                <c:pt idx="2">
                  <c:v>3553.3772000000022</c:v>
                </c:pt>
                <c:pt idx="3">
                  <c:v>3498.0910000000003</c:v>
                </c:pt>
                <c:pt idx="4">
                  <c:v>3021.2350999999999</c:v>
                </c:pt>
                <c:pt idx="5">
                  <c:v>2380.8785000000007</c:v>
                </c:pt>
                <c:pt idx="6">
                  <c:v>2369.4671199999993</c:v>
                </c:pt>
                <c:pt idx="7">
                  <c:v>1184.8353</c:v>
                </c:pt>
                <c:pt idx="8">
                  <c:v>1183.3828000000001</c:v>
                </c:pt>
                <c:pt idx="9">
                  <c:v>1102.5023999999996</c:v>
                </c:pt>
                <c:pt idx="10">
                  <c:v>1050.4903000000002</c:v>
                </c:pt>
                <c:pt idx="11">
                  <c:v>736.66079999999999</c:v>
                </c:pt>
                <c:pt idx="12">
                  <c:v>641.71479999999974</c:v>
                </c:pt>
                <c:pt idx="13">
                  <c:v>613.41420000000005</c:v>
                </c:pt>
                <c:pt idx="14">
                  <c:v>293.41280000000006</c:v>
                </c:pt>
                <c:pt idx="15">
                  <c:v>238.62690000000003</c:v>
                </c:pt>
                <c:pt idx="16">
                  <c:v>-2014.9361999999999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9-4510-8663-B9C6874190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5928799"/>
        <c:axId val="1955927359"/>
      </c:barChart>
      <c:catAx>
        <c:axId val="195592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27359"/>
        <c:crosses val="autoZero"/>
        <c:auto val="1"/>
        <c:lblAlgn val="ctr"/>
        <c:lblOffset val="100"/>
        <c:noMultiLvlLbl val="0"/>
      </c:catAx>
      <c:valAx>
        <c:axId val="195592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2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2</xdr:row>
      <xdr:rowOff>15240</xdr:rowOff>
    </xdr:from>
    <xdr:to>
      <xdr:col>16</xdr:col>
      <xdr:colOff>137160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11435-9EF2-8B1C-2721-9F143D50B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601979</xdr:colOff>
      <xdr:row>1</xdr:row>
      <xdr:rowOff>152399</xdr:rowOff>
    </xdr:from>
    <xdr:to>
      <xdr:col>19</xdr:col>
      <xdr:colOff>289367</xdr:colOff>
      <xdr:row>32</xdr:row>
      <xdr:rowOff>154328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3D740-F7B5-822A-7CB9-78DCE149F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2</xdr:row>
      <xdr:rowOff>15240</xdr:rowOff>
    </xdr:from>
    <xdr:to>
      <xdr:col>12</xdr:col>
      <xdr:colOff>594360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2CB49A-65AB-6A27-0563-283C3F39A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15240</xdr:rowOff>
    </xdr:from>
    <xdr:to>
      <xdr:col>12</xdr:col>
      <xdr:colOff>213360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B45928-D220-907E-A51B-934FD4101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7620</xdr:rowOff>
    </xdr:from>
    <xdr:to>
      <xdr:col>16</xdr:col>
      <xdr:colOff>107156</xdr:colOff>
      <xdr:row>32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0F137-10A6-C966-4B88-31C7D0D34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2</xdr:row>
      <xdr:rowOff>3810</xdr:rowOff>
    </xdr:from>
    <xdr:to>
      <xdr:col>14</xdr:col>
      <xdr:colOff>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D4DD2-E4DA-DB45-151A-64625511C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0</xdr:rowOff>
    </xdr:from>
    <xdr:to>
      <xdr:col>14</xdr:col>
      <xdr:colOff>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6443C1-D76C-AB8C-B074-5B0316BEC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45720</xdr:rowOff>
    </xdr:from>
    <xdr:to>
      <xdr:col>11</xdr:col>
      <xdr:colOff>396240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45CBB5-B481-005C-C3D2-B7361661A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15240</xdr:rowOff>
    </xdr:from>
    <xdr:to>
      <xdr:col>11</xdr:col>
      <xdr:colOff>571500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93D442-8998-B300-4221-83A4D938C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2</xdr:row>
      <xdr:rowOff>15240</xdr:rowOff>
    </xdr:from>
    <xdr:to>
      <xdr:col>18</xdr:col>
      <xdr:colOff>24847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465E6C-12D7-3C32-EED0-4F3C3D5F9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15240</xdr:rowOff>
    </xdr:from>
    <xdr:to>
      <xdr:col>21</xdr:col>
      <xdr:colOff>504092</xdr:colOff>
      <xdr:row>27</xdr:row>
      <xdr:rowOff>70339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E5556C-AAF1-F5DA-0C9F-811C32AFB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SH" refreshedDate="46230.597066203707" createdVersion="8" refreshedVersion="8" minRefreshableVersion="3" recordCount="1000" xr:uid="{007697D1-C853-491F-83F8-50781AADA25C}">
  <cacheSource type="worksheet">
    <worksheetSource name="Orders"/>
  </cacheSource>
  <cacheFields count="26">
    <cacheField name="order_id" numFmtId="0">
      <sharedItems/>
    </cacheField>
    <cacheField name="order_date" numFmtId="14">
      <sharedItems containsSemiMixedTypes="0" containsNonDate="0" containsDate="1" containsString="0" minDate="2011-01-03T00:00:00" maxDate="2015-01-01T00:00:00" count="659">
        <d v="2014-10-01T00:00:00"/>
        <d v="2014-09-01T00:00:00"/>
        <d v="2014-01-14T00:00:00"/>
        <d v="2011-01-26T00:00:00"/>
        <d v="2014-01-24T00:00:00"/>
        <d v="2014-01-25T00:00:00"/>
        <d v="2014-01-17T00:00:00"/>
        <d v="2013-01-16T00:00:00"/>
        <d v="2013-11-01T00:00:00"/>
        <d v="2013-01-31T00:00:00"/>
        <d v="2013-06-01T00:00:00"/>
        <d v="2013-01-18T00:00:00"/>
        <d v="2014-01-31T00:00:00"/>
        <d v="2012-01-17T00:00:00"/>
        <d v="2011-11-01T00:00:00"/>
        <d v="2014-01-20T00:00:00"/>
        <d v="2014-07-01T00:00:00"/>
        <d v="2011-01-21T00:00:00"/>
        <d v="2014-01-16T00:00:00"/>
        <d v="2012-10-01T00:00:00"/>
        <d v="2011-01-14T00:00:00"/>
        <d v="2014-01-30T00:00:00"/>
        <d v="2013-01-25T00:00:00"/>
        <d v="2011-01-31T00:00:00"/>
        <d v="2014-12-01T00:00:00"/>
        <d v="2013-01-29T00:00:00"/>
        <d v="2012-01-27T00:00:00"/>
        <d v="2013-05-01T00:00:00"/>
        <d v="2013-10-01T00:00:00"/>
        <d v="2014-01-29T00:00:00"/>
        <d v="2011-08-01T00:00:00"/>
        <d v="2013-01-15T00:00:00"/>
        <d v="2011-01-22T00:00:00"/>
        <d v="2014-08-01T00:00:00"/>
        <d v="2013-01-20T00:00:00"/>
        <d v="2011-01-25T00:00:00"/>
        <d v="2011-04-01T00:00:00"/>
        <d v="2012-01-23T00:00:00"/>
        <d v="2011-03-01T00:00:00"/>
        <d v="2013-08-01T00:00:00"/>
        <d v="2013-01-17T00:00:00"/>
        <d v="2014-05-01T00:00:00"/>
        <d v="2012-09-01T00:00:00"/>
        <d v="2013-01-30T00:00:00"/>
        <d v="2014-01-22T00:00:00"/>
        <d v="2011-12-01T00:00:00"/>
        <d v="2013-04-01T00:00:00"/>
        <d v="2014-11-01T00:00:00"/>
        <d v="2011-10-01T00:00:00"/>
        <d v="2014-01-21T00:00:00"/>
        <d v="2012-01-24T00:00:00"/>
        <d v="2014-06-01T00:00:00"/>
        <d v="2014-01-28T00:00:00"/>
        <d v="2013-03-01T00:00:00"/>
        <d v="2012-01-13T00:00:00"/>
        <d v="2013-01-27T00:00:00"/>
        <d v="2011-01-29T00:00:00"/>
        <d v="2012-08-01T00:00:00"/>
        <d v="2014-02-28T00:00:00"/>
        <d v="2011-02-25T00:00:00"/>
        <d v="2014-02-26T00:00:00"/>
        <d v="2013-08-02T00:00:00"/>
        <d v="2012-11-02T00:00:00"/>
        <d v="2013-02-02T00:00:00"/>
        <d v="2013-02-27T00:00:00"/>
        <d v="2013-01-02T00:00:00"/>
        <d v="2011-06-02T00:00:00"/>
        <d v="2013-02-20T00:00:00"/>
        <d v="2014-02-20T00:00:00"/>
        <d v="2011-02-26T00:00:00"/>
        <d v="2014-12-02T00:00:00"/>
        <d v="2013-09-02T00:00:00"/>
        <d v="2014-02-24T00:00:00"/>
        <d v="2012-01-02T00:00:00"/>
        <d v="2012-02-15T00:00:00"/>
        <d v="2011-12-02T00:00:00"/>
        <d v="2014-02-19T00:00:00"/>
        <d v="2013-02-19T00:00:00"/>
        <d v="2011-09-02T00:00:00"/>
        <d v="2012-02-23T00:00:00"/>
        <d v="2013-02-26T00:00:00"/>
        <d v="2014-08-02T00:00:00"/>
        <d v="2011-11-02T00:00:00"/>
        <d v="2012-02-21T00:00:00"/>
        <d v="2013-04-02T00:00:00"/>
        <d v="2013-07-02T00:00:00"/>
        <d v="2013-10-02T00:00:00"/>
        <d v="2012-02-22T00:00:00"/>
        <d v="2012-07-02T00:00:00"/>
        <d v="2012-10-02T00:00:00"/>
        <d v="2012-02-18T00:00:00"/>
        <d v="2013-05-02T00:00:00"/>
        <d v="2013-02-16T00:00:00"/>
        <d v="2014-02-22T00:00:00"/>
        <d v="2014-04-02T00:00:00"/>
        <d v="2014-07-02T00:00:00"/>
        <d v="2014-10-02T00:00:00"/>
        <d v="2014-02-14T00:00:00"/>
        <d v="2014-02-13T00:00:00"/>
        <d v="2013-12-02T00:00:00"/>
        <d v="2011-02-15T00:00:00"/>
        <d v="2014-03-02T00:00:00"/>
        <d v="2014-06-02T00:00:00"/>
        <d v="2014-02-27T00:00:00"/>
        <d v="2012-03-02T00:00:00"/>
        <d v="2014-09-02T00:00:00"/>
        <d v="2012-02-02T00:00:00"/>
        <d v="2011-08-02T00:00:00"/>
        <d v="2014-01-02T00:00:00"/>
        <d v="2013-06-02T00:00:00"/>
        <d v="2014-03-18T00:00:00"/>
        <d v="2014-10-03T00:00:00"/>
        <d v="2011-03-31T00:00:00"/>
        <d v="2012-03-16T00:00:00"/>
        <d v="2013-03-25T00:00:00"/>
        <d v="2014-09-03T00:00:00"/>
        <d v="2014-03-27T00:00:00"/>
        <d v="2013-03-23T00:00:00"/>
        <d v="2011-08-03T00:00:00"/>
        <d v="2014-03-20T00:00:00"/>
        <d v="2011-03-18T00:00:00"/>
        <d v="2014-11-03T00:00:00"/>
        <d v="2013-03-30T00:00:00"/>
        <d v="2013-06-03T00:00:00"/>
        <d v="2012-03-27T00:00:00"/>
        <d v="2012-03-23T00:00:00"/>
        <d v="2013-03-15T00:00:00"/>
        <d v="2014-03-19T00:00:00"/>
        <d v="2014-01-03T00:00:00"/>
        <d v="2012-03-30T00:00:00"/>
        <d v="2014-04-03T00:00:00"/>
        <d v="2014-12-03T00:00:00"/>
        <d v="2013-03-28T00:00:00"/>
        <d v="2013-03-13T00:00:00"/>
        <d v="2011-03-29T00:00:00"/>
        <d v="2013-03-22T00:00:00"/>
        <d v="2012-03-24T00:00:00"/>
        <d v="2012-03-22T00:00:00"/>
        <d v="2011-12-03T00:00:00"/>
        <d v="2014-03-17T00:00:00"/>
        <d v="2013-12-03T00:00:00"/>
        <d v="2011-03-21T00:00:00"/>
        <d v="2012-05-03T00:00:00"/>
        <d v="2014-03-21T00:00:00"/>
        <d v="2011-09-03T00:00:00"/>
        <d v="2013-05-03T00:00:00"/>
        <d v="2013-10-03T00:00:00"/>
        <d v="2011-10-03T00:00:00"/>
        <d v="2011-03-15T00:00:00"/>
        <d v="2011-03-03T00:00:00"/>
        <d v="2011-03-25T00:00:00"/>
        <d v="2011-05-03T00:00:00"/>
        <d v="2012-03-29T00:00:00"/>
        <d v="2013-01-03T00:00:00"/>
        <d v="2012-03-17T00:00:00"/>
        <d v="2011-01-03T00:00:00"/>
        <d v="2012-04-03T00:00:00"/>
        <d v="2013-07-03T00:00:00"/>
        <d v="2012-11-03T00:00:00"/>
        <d v="2013-03-31T00:00:00"/>
        <d v="2012-12-03T00:00:00"/>
        <d v="2012-03-19T00:00:00"/>
        <d v="2011-03-17T00:00:00"/>
        <d v="2013-04-20T00:00:00"/>
        <d v="2014-04-16T00:00:00"/>
        <d v="2014-01-04T00:00:00"/>
        <d v="2013-06-04T00:00:00"/>
        <d v="2011-04-25T00:00:00"/>
        <d v="2014-04-04T00:00:00"/>
        <d v="2013-04-22T00:00:00"/>
        <d v="2012-09-04T00:00:00"/>
        <d v="2011-04-26T00:00:00"/>
        <d v="2014-04-25T00:00:00"/>
        <d v="2014-08-04T00:00:00"/>
        <d v="2012-04-18T00:00:00"/>
        <d v="2011-11-04T00:00:00"/>
        <d v="2012-04-16T00:00:00"/>
        <d v="2012-04-25T00:00:00"/>
        <d v="2013-04-13T00:00:00"/>
        <d v="2014-11-04T00:00:00"/>
        <d v="2014-04-18T00:00:00"/>
        <d v="2011-04-19T00:00:00"/>
        <d v="2013-07-04T00:00:00"/>
        <d v="2013-04-15T00:00:00"/>
        <d v="2012-05-04T00:00:00"/>
        <d v="2013-01-04T00:00:00"/>
        <d v="2012-04-13T00:00:00"/>
        <d v="2011-04-27T00:00:00"/>
        <d v="2013-04-19T00:00:00"/>
        <d v="2014-12-04T00:00:00"/>
        <d v="2012-04-23T00:00:00"/>
        <d v="2014-10-04T00:00:00"/>
        <d v="2014-07-04T00:00:00"/>
        <d v="2011-04-18T00:00:00"/>
        <d v="2012-01-04T00:00:00"/>
        <d v="2013-04-17T00:00:00"/>
        <d v="2014-06-04T00:00:00"/>
        <d v="2012-04-20T00:00:00"/>
        <d v="2013-10-04T00:00:00"/>
        <d v="2011-02-04T00:00:00"/>
        <d v="2013-04-30T00:00:00"/>
        <d v="2011-03-04T00:00:00"/>
        <d v="2011-04-13T00:00:00"/>
        <d v="2014-04-24T00:00:00"/>
        <d v="2014-09-04T00:00:00"/>
        <d v="2012-04-30T00:00:00"/>
        <d v="2011-04-04T00:00:00"/>
        <d v="2013-03-04T00:00:00"/>
        <d v="2011-05-04T00:00:00"/>
        <d v="2013-04-24T00:00:00"/>
        <d v="2011-04-16T00:00:00"/>
        <d v="2013-04-27T00:00:00"/>
        <d v="2013-04-04T00:00:00"/>
        <d v="2012-04-24T00:00:00"/>
        <d v="2013-12-04T00:00:00"/>
        <d v="2014-04-17T00:00:00"/>
        <d v="2013-04-26T00:00:00"/>
        <d v="2013-04-05T00:00:00"/>
        <d v="2011-09-05T00:00:00"/>
        <d v="2013-05-05T00:00:00"/>
        <d v="2011-10-05T00:00:00"/>
        <d v="2013-05-25T00:00:00"/>
        <d v="2011-05-31T00:00:00"/>
        <d v="2012-05-22T00:00:00"/>
        <d v="2014-09-05T00:00:00"/>
        <d v="2014-05-19T00:00:00"/>
        <d v="2012-06-05T00:00:00"/>
        <d v="2014-05-14T00:00:00"/>
        <d v="2014-05-31T00:00:00"/>
        <d v="2012-12-05T00:00:00"/>
        <d v="2012-05-29T00:00:00"/>
        <d v="2013-06-05T00:00:00"/>
        <d v="2013-09-05T00:00:00"/>
        <d v="2013-11-05T00:00:00"/>
        <d v="2012-05-14T00:00:00"/>
        <d v="2011-03-05T00:00:00"/>
        <d v="2012-05-25T00:00:00"/>
        <d v="2012-05-23T00:00:00"/>
        <d v="2011-05-27T00:00:00"/>
        <d v="2014-05-16T00:00:00"/>
        <d v="2013-05-15T00:00:00"/>
        <d v="2014-03-05T00:00:00"/>
        <d v="2014-05-30T00:00:00"/>
        <d v="2014-05-21T00:00:00"/>
        <d v="2012-11-05T00:00:00"/>
        <d v="2011-05-19T00:00:00"/>
        <d v="2011-07-05T00:00:00"/>
        <d v="2013-05-24T00:00:00"/>
        <d v="2014-05-27T00:00:00"/>
        <d v="2014-11-05T00:00:00"/>
        <d v="2011-05-21T00:00:00"/>
        <d v="2013-02-05T00:00:00"/>
        <d v="2011-12-05T00:00:00"/>
        <d v="2013-05-17T00:00:00"/>
        <d v="2011-04-05T00:00:00"/>
        <d v="2011-05-13T00:00:00"/>
        <d v="2012-03-05T00:00:00"/>
        <d v="2012-05-18T00:00:00"/>
        <d v="2013-08-05T00:00:00"/>
        <d v="2012-05-15T00:00:00"/>
        <d v="2014-12-05T00:00:00"/>
        <d v="2012-01-05T00:00:00"/>
        <d v="2014-02-05T00:00:00"/>
        <d v="2013-05-16T00:00:00"/>
        <d v="2012-05-30T00:00:00"/>
        <d v="2012-05-16T00:00:00"/>
        <d v="2014-05-15T00:00:00"/>
        <d v="2013-05-19T00:00:00"/>
        <d v="2011-05-18T00:00:00"/>
        <d v="2011-05-20T00:00:00"/>
        <d v="2012-05-26T00:00:00"/>
        <d v="2013-05-14T00:00:00"/>
        <d v="2013-05-29T00:00:00"/>
        <d v="2011-06-13T00:00:00"/>
        <d v="2011-06-06T00:00:00"/>
        <d v="2013-06-25T00:00:00"/>
        <d v="2014-06-27T00:00:00"/>
        <d v="2013-06-20T00:00:00"/>
        <d v="2012-06-18T00:00:00"/>
        <d v="2011-12-06T00:00:00"/>
        <d v="2012-06-27T00:00:00"/>
        <d v="2011-06-18T00:00:00"/>
        <d v="2014-11-06T00:00:00"/>
        <d v="2013-06-13T00:00:00"/>
        <d v="2014-06-28T00:00:00"/>
        <d v="2014-06-24T00:00:00"/>
        <d v="2014-06-19T00:00:00"/>
        <d v="2014-06-20T00:00:00"/>
        <d v="2012-03-06T00:00:00"/>
        <d v="2011-06-14T00:00:00"/>
        <d v="2014-12-06T00:00:00"/>
        <d v="2014-06-16T00:00:00"/>
        <d v="2014-06-25T00:00:00"/>
        <d v="2013-06-18T00:00:00"/>
        <d v="2013-09-06T00:00:00"/>
        <d v="2014-06-14T00:00:00"/>
        <d v="2011-06-30T00:00:00"/>
        <d v="2012-06-20T00:00:00"/>
        <d v="2012-06-29T00:00:00"/>
        <d v="2013-02-06T00:00:00"/>
        <d v="2011-06-24T00:00:00"/>
        <d v="2014-06-06T00:00:00"/>
        <d v="2013-08-06T00:00:00"/>
        <d v="2012-06-26T00:00:00"/>
        <d v="2014-06-29T00:00:00"/>
        <d v="2013-06-21T00:00:00"/>
        <d v="2013-06-14T00:00:00"/>
        <d v="2013-04-06T00:00:00"/>
        <d v="2013-06-19T00:00:00"/>
        <d v="2014-06-17T00:00:00"/>
        <d v="2014-08-06T00:00:00"/>
        <d v="2012-06-16T00:00:00"/>
        <d v="2013-06-24T00:00:00"/>
        <d v="2011-06-21T00:00:00"/>
        <d v="2013-11-06T00:00:00"/>
        <d v="2013-06-17T00:00:00"/>
        <d v="2013-06-28T00:00:00"/>
        <d v="2011-02-06T00:00:00"/>
        <d v="2012-06-30T00:00:00"/>
        <d v="2013-05-06T00:00:00"/>
        <d v="2011-06-22T00:00:00"/>
        <d v="2011-06-20T00:00:00"/>
        <d v="2012-06-25T00:00:00"/>
        <d v="2012-06-28T00:00:00"/>
        <d v="2011-04-06T00:00:00"/>
        <d v="2012-04-06T00:00:00"/>
        <d v="2012-09-06T00:00:00"/>
        <d v="2014-06-13T00:00:00"/>
        <d v="2014-06-18T00:00:00"/>
        <d v="2011-07-29T00:00:00"/>
        <d v="2013-06-07T00:00:00"/>
        <d v="2011-07-25T00:00:00"/>
        <d v="2013-07-19T00:00:00"/>
        <d v="2013-07-27T00:00:00"/>
        <d v="2012-11-07T00:00:00"/>
        <d v="2011-04-07T00:00:00"/>
        <d v="2012-07-31T00:00:00"/>
        <d v="2013-07-25T00:00:00"/>
        <d v="2011-07-18T00:00:00"/>
        <d v="2012-01-07T00:00:00"/>
        <d v="2012-07-24T00:00:00"/>
        <d v="2014-07-24T00:00:00"/>
        <d v="2014-11-07T00:00:00"/>
        <d v="2013-07-20T00:00:00"/>
        <d v="2014-05-07T00:00:00"/>
        <d v="2011-07-20T00:00:00"/>
        <d v="2012-09-07T00:00:00"/>
        <d v="2011-06-07T00:00:00"/>
        <d v="2012-07-19T00:00:00"/>
        <d v="2013-07-16T00:00:00"/>
        <d v="2013-11-07T00:00:00"/>
        <d v="2012-07-23T00:00:00"/>
        <d v="2011-07-14T00:00:00"/>
        <d v="2012-07-21T00:00:00"/>
        <d v="2011-10-07T00:00:00"/>
        <d v="2013-05-07T00:00:00"/>
        <d v="2014-10-07T00:00:00"/>
        <d v="2013-08-07T00:00:00"/>
        <d v="2012-12-07T00:00:00"/>
        <d v="2014-07-17T00:00:00"/>
        <d v="2014-07-26T00:00:00"/>
        <d v="2013-07-14T00:00:00"/>
        <d v="2012-07-30T00:00:00"/>
        <d v="2011-07-22T00:00:00"/>
        <d v="2014-07-30T00:00:00"/>
        <d v="2014-07-14T00:00:00"/>
        <d v="2011-07-21T00:00:00"/>
        <d v="2014-07-16T00:00:00"/>
        <d v="2012-04-07T00:00:00"/>
        <d v="2012-07-16T00:00:00"/>
        <d v="2013-07-23T00:00:00"/>
        <d v="2012-07-26T00:00:00"/>
        <d v="2014-07-19T00:00:00"/>
        <d v="2012-07-13T00:00:00"/>
        <d v="2011-07-27T00:00:00"/>
        <d v="2013-07-15T00:00:00"/>
        <d v="2014-07-28T00:00:00"/>
        <d v="2012-07-20T00:00:00"/>
        <d v="2013-12-07T00:00:00"/>
        <d v="2012-03-07T00:00:00"/>
        <d v="2011-09-07T00:00:00"/>
        <d v="2012-05-07T00:00:00"/>
        <d v="2012-02-07T00:00:00"/>
        <d v="2014-07-07T00:00:00"/>
        <d v="2012-08-20T00:00:00"/>
        <d v="2013-07-08T00:00:00"/>
        <d v="2014-08-14T00:00:00"/>
        <d v="2014-08-18T00:00:00"/>
        <d v="2013-08-15T00:00:00"/>
        <d v="2011-08-19T00:00:00"/>
        <d v="2014-08-15T00:00:00"/>
        <d v="2013-08-17T00:00:00"/>
        <d v="2012-08-08T00:00:00"/>
        <d v="2014-09-08T00:00:00"/>
        <d v="2011-08-29T00:00:00"/>
        <d v="2014-08-24T00:00:00"/>
        <d v="2014-08-19T00:00:00"/>
        <d v="2013-04-08T00:00:00"/>
        <d v="2013-08-23T00:00:00"/>
        <d v="2011-08-22T00:00:00"/>
        <d v="2012-08-16T00:00:00"/>
        <d v="2014-12-08T00:00:00"/>
        <d v="2014-08-21T00:00:00"/>
        <d v="2013-08-19T00:00:00"/>
        <d v="2012-06-08T00:00:00"/>
        <d v="2013-08-31T00:00:00"/>
        <d v="2013-08-24T00:00:00"/>
        <d v="2011-08-25T00:00:00"/>
        <d v="2013-08-22T00:00:00"/>
        <d v="2014-08-13T00:00:00"/>
        <d v="2014-05-08T00:00:00"/>
        <d v="2012-11-08T00:00:00"/>
        <d v="2013-08-27T00:00:00"/>
        <d v="2014-08-25T00:00:00"/>
        <d v="2011-09-08T00:00:00"/>
        <d v="2011-08-26T00:00:00"/>
        <d v="2014-08-29T00:00:00"/>
        <d v="2011-08-24T00:00:00"/>
        <d v="2011-08-17T00:00:00"/>
        <d v="2011-03-08T00:00:00"/>
        <d v="2013-11-08T00:00:00"/>
        <d v="2011-08-16T00:00:00"/>
        <d v="2012-08-29T00:00:00"/>
        <d v="2012-08-14T00:00:00"/>
        <d v="2014-04-08T00:00:00"/>
        <d v="2011-08-30T00:00:00"/>
        <d v="2011-08-23T00:00:00"/>
        <d v="2013-08-16T00:00:00"/>
        <d v="2013-08-13T00:00:00"/>
        <d v="2013-03-08T00:00:00"/>
        <d v="2013-08-14T00:00:00"/>
        <d v="2012-08-28T00:00:00"/>
        <d v="2014-08-08T00:00:00"/>
        <d v="2011-08-31T00:00:00"/>
        <d v="2013-08-28T00:00:00"/>
        <d v="2014-08-28T00:00:00"/>
        <d v="2014-08-26T00:00:00"/>
        <d v="2013-09-25T00:00:00"/>
        <d v="2012-09-14T00:00:00"/>
        <d v="2011-09-19T00:00:00"/>
        <d v="2013-09-16T00:00:00"/>
        <d v="2013-09-20T00:00:00"/>
        <d v="2014-12-09T00:00:00"/>
        <d v="2014-09-21T00:00:00"/>
        <d v="2014-08-09T00:00:00"/>
        <d v="2014-09-19T00:00:00"/>
        <d v="2012-09-28T00:00:00"/>
        <d v="2011-08-09T00:00:00"/>
        <d v="2013-08-09T00:00:00"/>
        <d v="2012-06-09T00:00:00"/>
        <d v="2011-06-09T00:00:00"/>
        <d v="2014-05-09T00:00:00"/>
        <d v="2012-09-21T00:00:00"/>
        <d v="2014-09-09T00:00:00"/>
        <d v="2013-09-18T00:00:00"/>
        <d v="2011-09-28T00:00:00"/>
        <d v="2011-09-14T00:00:00"/>
        <d v="2011-09-27T00:00:00"/>
        <d v="2011-02-09T00:00:00"/>
        <d v="2012-03-09T00:00:00"/>
        <d v="2012-08-09T00:00:00"/>
        <d v="2014-09-15T00:00:00"/>
        <d v="2011-12-09T00:00:00"/>
        <d v="2013-09-13T00:00:00"/>
        <d v="2014-09-18T00:00:00"/>
        <d v="2014-03-09T00:00:00"/>
        <d v="2014-09-29T00:00:00"/>
        <d v="2011-09-22T00:00:00"/>
        <d v="2012-09-22T00:00:00"/>
        <d v="2014-09-17T00:00:00"/>
        <d v="2014-06-09T00:00:00"/>
        <d v="2011-09-23T00:00:00"/>
        <d v="2014-09-27T00:00:00"/>
        <d v="2013-05-09T00:00:00"/>
        <d v="2013-12-09T00:00:00"/>
        <d v="2011-09-17T00:00:00"/>
        <d v="2013-03-09T00:00:00"/>
        <d v="2011-09-15T00:00:00"/>
        <d v="2012-09-24T00:00:00"/>
        <d v="2013-09-19T00:00:00"/>
        <d v="2014-09-25T00:00:00"/>
        <d v="2011-10-09T00:00:00"/>
        <d v="2014-09-26T00:00:00"/>
        <d v="2014-04-09T00:00:00"/>
        <d v="2014-09-24T00:00:00"/>
        <d v="2012-09-09T00:00:00"/>
        <d v="2012-09-18T00:00:00"/>
        <d v="2013-07-09T00:00:00"/>
        <d v="2013-09-27T00:00:00"/>
        <d v="2012-09-25T00:00:00"/>
        <d v="2011-09-21T00:00:00"/>
        <d v="2011-10-15T00:00:00"/>
        <d v="2012-10-10T00:00:00"/>
        <d v="2014-10-16T00:00:00"/>
        <d v="2011-10-28T00:00:00"/>
        <d v="2013-10-22T00:00:00"/>
        <d v="2014-10-21T00:00:00"/>
        <d v="2014-10-27T00:00:00"/>
        <d v="2013-09-10T00:00:00"/>
        <d v="2012-10-22T00:00:00"/>
        <d v="2011-11-10T00:00:00"/>
        <d v="2012-10-15T00:00:00"/>
        <d v="2012-03-10T00:00:00"/>
        <d v="2012-04-10T00:00:00"/>
        <d v="2014-10-15T00:00:00"/>
        <d v="2012-10-19T00:00:00"/>
        <d v="2012-12-10T00:00:00"/>
        <d v="2013-10-14T00:00:00"/>
        <d v="2013-10-29T00:00:00"/>
        <d v="2014-10-22T00:00:00"/>
        <d v="2013-10-30T00:00:00"/>
        <d v="2013-06-10T00:00:00"/>
        <d v="2014-10-13T00:00:00"/>
        <d v="2012-08-10T00:00:00"/>
        <d v="2012-10-14T00:00:00"/>
        <d v="2014-10-17T00:00:00"/>
        <d v="2014-10-28T00:00:00"/>
        <d v="2013-12-10T00:00:00"/>
        <d v="2014-06-10T00:00:00"/>
        <d v="2014-10-31T00:00:00"/>
        <d v="2011-09-10T00:00:00"/>
        <d v="2014-12-10T00:00:00"/>
        <d v="2014-10-23T00:00:00"/>
        <d v="2013-10-28T00:00:00"/>
        <d v="2011-01-10T00:00:00"/>
        <d v="2013-10-17T00:00:00"/>
        <d v="2014-10-14T00:00:00"/>
        <d v="2014-09-10T00:00:00"/>
        <d v="2013-10-24T00:00:00"/>
        <d v="2011-10-27T00:00:00"/>
        <d v="2014-04-10T00:00:00"/>
        <d v="2012-10-16T00:00:00"/>
        <d v="2012-10-17T00:00:00"/>
        <d v="2014-05-10T00:00:00"/>
        <d v="2013-04-10T00:00:00"/>
        <d v="2013-10-21T00:00:00"/>
        <d v="2013-10-16T00:00:00"/>
        <d v="2011-10-24T00:00:00"/>
        <d v="2012-10-30T00:00:00"/>
        <d v="2011-10-17T00:00:00"/>
        <d v="2012-11-10T00:00:00"/>
        <d v="2011-10-20T00:00:00"/>
        <d v="2012-10-13T00:00:00"/>
        <d v="2011-12-10T00:00:00"/>
        <d v="2013-08-10T00:00:00"/>
        <d v="2011-10-26T00:00:00"/>
        <d v="2012-01-10T00:00:00"/>
        <d v="2013-10-31T00:00:00"/>
        <d v="2011-10-31T00:00:00"/>
        <d v="2013-10-18T00:00:00"/>
        <d v="2014-09-11T00:00:00"/>
        <d v="2014-11-24T00:00:00"/>
        <d v="2014-02-11T00:00:00"/>
        <d v="2012-11-16T00:00:00"/>
        <d v="2013-11-25T00:00:00"/>
        <d v="2012-11-26T00:00:00"/>
        <d v="2012-06-11T00:00:00"/>
        <d v="2014-11-14T00:00:00"/>
        <d v="2012-11-20T00:00:00"/>
        <d v="2014-11-15T00:00:00"/>
        <d v="2011-11-25T00:00:00"/>
        <d v="2014-11-20T00:00:00"/>
        <d v="2014-11-19T00:00:00"/>
        <d v="2013-12-11T00:00:00"/>
        <d v="2013-10-11T00:00:00"/>
        <d v="2014-11-17T00:00:00"/>
        <d v="2012-04-11T00:00:00"/>
        <d v="2011-06-11T00:00:00"/>
        <d v="2012-11-14T00:00:00"/>
        <d v="2014-07-11T00:00:00"/>
        <d v="2011-08-11T00:00:00"/>
        <d v="2014-06-11T00:00:00"/>
        <d v="2013-11-13T00:00:00"/>
        <d v="2013-11-15T00:00:00"/>
        <d v="2014-11-26T00:00:00"/>
        <d v="2012-11-29T00:00:00"/>
        <d v="2012-12-11T00:00:00"/>
        <d v="2011-11-15T00:00:00"/>
        <d v="2013-11-22T00:00:00"/>
        <d v="2014-08-11T00:00:00"/>
        <d v="2014-04-11T00:00:00"/>
        <d v="2014-11-18T00:00:00"/>
        <d v="2012-11-19T00:00:00"/>
        <d v="2012-11-15T00:00:00"/>
        <d v="2014-11-21T00:00:00"/>
        <d v="2013-11-19T00:00:00"/>
        <d v="2011-11-22T00:00:00"/>
        <d v="2011-11-28T00:00:00"/>
        <d v="2014-11-28T00:00:00"/>
        <d v="2014-11-13T00:00:00"/>
        <d v="2013-11-26T00:00:00"/>
        <d v="2014-03-11T00:00:00"/>
        <d v="2013-09-11T00:00:00"/>
        <d v="2011-05-11T00:00:00"/>
        <d v="2013-11-14T00:00:00"/>
        <d v="2011-11-17T00:00:00"/>
        <d v="2012-10-11T00:00:00"/>
        <d v="2013-11-30T00:00:00"/>
        <d v="2011-11-11T00:00:00"/>
        <d v="2014-11-25T00:00:00"/>
        <d v="2012-05-11T00:00:00"/>
        <d v="2013-11-21T00:00:00"/>
        <d v="2013-11-27T00:00:00"/>
        <d v="2012-11-17T00:00:00"/>
        <d v="2014-12-11T00:00:00"/>
        <d v="2013-12-17T00:00:00"/>
        <d v="2012-12-13T00:00:00"/>
        <d v="2012-12-14T00:00:00"/>
        <d v="2011-10-12T00:00:00"/>
        <d v="2013-12-13T00:00:00"/>
        <d v="2014-12-16T00:00:00"/>
        <d v="2014-12-14T00:00:00"/>
        <d v="2012-12-29T00:00:00"/>
        <d v="2012-12-26T00:00:00"/>
        <d v="2013-08-12T00:00:00"/>
        <d v="2013-12-27T00:00:00"/>
        <d v="2013-12-24T00:00:00"/>
        <d v="2013-09-12T00:00:00"/>
        <d v="2011-12-30T00:00:00"/>
        <d v="2014-12-19T00:00:00"/>
        <d v="2013-12-12T00:00:00"/>
        <d v="2013-12-31T00:00:00"/>
        <d v="2012-06-12T00:00:00"/>
        <d v="2011-12-12T00:00:00"/>
        <d v="2014-12-29T00:00:00"/>
        <d v="2011-12-20T00:00:00"/>
        <d v="2014-12-31T00:00:00"/>
        <d v="2014-08-12T00:00:00"/>
        <d v="2013-03-12T00:00:00"/>
        <d v="2013-12-23T00:00:00"/>
        <d v="2011-12-17T00:00:00"/>
        <d v="2011-02-12T00:00:00"/>
        <d v="2014-12-30T00:00:00"/>
        <d v="2012-03-12T00:00:00"/>
        <d v="2014-12-15T00:00:00"/>
        <d v="2014-12-23T00:00:00"/>
        <d v="2014-12-12T00:00:00"/>
        <d v="2014-06-12T00:00:00"/>
        <d v="2011-12-14T00:00:00"/>
        <d v="2012-12-27T00:00:00"/>
        <d v="2011-12-15T00:00:00"/>
        <d v="2012-12-25T00:00:00"/>
        <d v="2011-12-27T00:00:00"/>
        <d v="2011-12-19T00:00:00"/>
        <d v="2012-12-16T00:00:00"/>
        <d v="2013-04-12T00:00:00"/>
        <d v="2011-12-23T00:00:00"/>
        <d v="2013-06-12T00:00:00"/>
        <d v="2013-12-26T00:00:00"/>
        <d v="2014-12-17T00:00:00"/>
        <d v="2011-01-12T00:00:00"/>
        <d v="2011-12-29T00:00:00"/>
        <d v="2014-12-18T00:00:00"/>
        <d v="2012-12-19T00:00:00"/>
        <d v="2014-12-27T00:00:00"/>
        <d v="2012-01-12T00:00:00"/>
        <d v="2011-03-12T00:00:00"/>
        <d v="2013-12-21T00:00:00"/>
        <d v="2012-12-22T00:00:00"/>
      </sharedItems>
      <fieldGroup par="22"/>
    </cacheField>
    <cacheField name="ship_date" numFmtId="14">
      <sharedItems containsSemiMixedTypes="0" containsNonDate="0" containsDate="1" containsString="0" minDate="2011-01-08T00:00:00" maxDate="2015-01-06T00:00:00" count="694">
        <d v="2014-10-08T00:00:00"/>
        <d v="2014-09-07T00:00:00"/>
        <d v="2014-01-19T00:00:00"/>
        <d v="2011-01-29T00:00:00"/>
        <d v="2014-09-03T00:00:00"/>
        <d v="2014-01-31T00:00:00"/>
        <d v="2014-01-29T00:00:00"/>
        <d v="2014-01-20T00:00:00"/>
        <d v="2013-01-20T00:00:00"/>
        <d v="2013-11-05T00:00:00"/>
        <d v="2013-02-02T00:00:00"/>
        <d v="2013-06-03T00:00:00"/>
        <d v="2011-01-28T00:00:00"/>
        <d v="2013-01-25T00:00:00"/>
        <d v="2014-02-07T00:00:00"/>
        <d v="2012-01-23T00:00:00"/>
        <d v="2014-01-22T00:00:00"/>
        <d v="2011-11-08T00:00:00"/>
        <d v="2014-01-24T00:00:00"/>
        <d v="2014-07-05T00:00:00"/>
        <d v="2011-01-27T00:00:00"/>
        <d v="2012-10-08T00:00:00"/>
        <d v="2011-01-19T00:00:00"/>
        <d v="2014-02-03T00:00:00"/>
        <d v="2013-01-30T00:00:00"/>
        <d v="2014-01-21T00:00:00"/>
        <d v="2011-02-06T00:00:00"/>
        <d v="2014-12-05T00:00:00"/>
        <d v="2013-01-31T00:00:00"/>
        <d v="2012-02-02T00:00:00"/>
        <d v="2013-05-01T00:00:00"/>
        <d v="2013-10-05T00:00:00"/>
        <d v="2011-08-03T00:00:00"/>
        <d v="2011-08-05T00:00:00"/>
        <d v="2014-10-06T00:00:00"/>
        <d v="2013-01-17T00:00:00"/>
        <d v="2011-01-26T00:00:00"/>
        <d v="2014-02-04T00:00:00"/>
        <d v="2014-08-04T00:00:00"/>
        <d v="2013-01-24T00:00:00"/>
        <d v="2011-04-06T00:00:00"/>
        <d v="2014-01-28T00:00:00"/>
        <d v="2011-01-23T00:00:00"/>
        <d v="2012-01-25T00:00:00"/>
        <d v="2012-01-27T00:00:00"/>
        <d v="2014-02-05T00:00:00"/>
        <d v="2011-03-05T00:00:00"/>
        <d v="2013-08-04T00:00:00"/>
        <d v="2013-01-23T00:00:00"/>
        <d v="2014-05-08T00:00:00"/>
        <d v="2012-09-04T00:00:00"/>
        <d v="2013-02-03T00:00:00"/>
        <d v="2013-02-05T00:00:00"/>
        <d v="2011-01-31T00:00:00"/>
        <d v="2011-12-05T00:00:00"/>
        <d v="2013-04-07T00:00:00"/>
        <d v="2014-11-06T00:00:00"/>
        <d v="2011-10-05T00:00:00"/>
        <d v="2014-01-25T00:00:00"/>
        <d v="2012-01-30T00:00:00"/>
        <d v="2014-06-03T00:00:00"/>
        <d v="2013-01-22T00:00:00"/>
        <d v="2013-11-06T00:00:00"/>
        <d v="2013-03-07T00:00:00"/>
        <d v="2012-01-18T00:00:00"/>
        <d v="2011-02-04T00:00:00"/>
        <d v="2014-02-02T00:00:00"/>
        <d v="2014-08-07T00:00:00"/>
        <d v="2013-08-07T00:00:00"/>
        <d v="2012-09-06T00:00:00"/>
        <d v="2013-03-08T00:00:00"/>
        <d v="2012-08-07T00:00:00"/>
        <d v="2014-01-27T00:00:00"/>
        <d v="2014-03-02T00:00:00"/>
        <d v="2011-03-03T00:00:00"/>
        <d v="2014-03-03T00:00:00"/>
        <d v="2013-08-06T00:00:00"/>
        <d v="2012-11-05T00:00:00"/>
        <d v="2013-02-07T00:00:00"/>
        <d v="2013-02-28T00:00:00"/>
        <d v="2013-01-08T00:00:00"/>
        <d v="2011-06-07T00:00:00"/>
        <d v="2013-02-26T00:00:00"/>
        <d v="2014-02-27T00:00:00"/>
        <d v="2011-03-04T00:00:00"/>
        <d v="2014-12-09T00:00:00"/>
        <d v="2014-12-06T00:00:00"/>
        <d v="2013-09-04T00:00:00"/>
        <d v="2012-01-04T00:00:00"/>
        <d v="2012-02-17T00:00:00"/>
        <d v="2011-12-07T00:00:00"/>
        <d v="2014-02-25T00:00:00"/>
        <d v="2011-09-07T00:00:00"/>
        <d v="2013-02-27T00:00:00"/>
        <d v="2012-02-29T00:00:00"/>
        <d v="2013-03-03T00:00:00"/>
        <d v="2014-08-05T00:00:00"/>
        <d v="2011-11-07T00:00:00"/>
        <d v="2012-02-23T00:00:00"/>
        <d v="2013-09-08T00:00:00"/>
        <d v="2013-04-08T00:00:00"/>
        <d v="2013-07-02T00:00:00"/>
        <d v="2013-10-07T00:00:00"/>
        <d v="2013-03-04T00:00:00"/>
        <d v="2012-02-24T00:00:00"/>
        <d v="2012-07-06T00:00:00"/>
        <d v="2012-10-07T00:00:00"/>
        <d v="2012-02-22T00:00:00"/>
        <d v="2013-05-05T00:00:00"/>
        <d v="2013-08-08T00:00:00"/>
        <d v="2013-07-05T00:00:00"/>
        <d v="2012-01-06T00:00:00"/>
        <d v="2013-02-20T00:00:00"/>
        <d v="2014-03-05T00:00:00"/>
        <d v="2013-02-23T00:00:00"/>
        <d v="2014-03-04T00:00:00"/>
        <d v="2014-04-07T00:00:00"/>
        <d v="2014-07-06T00:00:00"/>
        <d v="2014-10-02T00:00:00"/>
        <d v="2014-02-21T00:00:00"/>
        <d v="2014-02-19T00:00:00"/>
        <d v="2011-09-05T00:00:00"/>
        <d v="2013-12-05T00:00:00"/>
        <d v="2013-12-04T00:00:00"/>
        <d v="2011-02-16T00:00:00"/>
        <d v="2014-03-07T00:00:00"/>
        <d v="2014-06-04T00:00:00"/>
        <d v="2014-03-01T00:00:00"/>
        <d v="2012-01-07T00:00:00"/>
        <d v="2012-03-07T00:00:00"/>
        <d v="2012-02-06T00:00:00"/>
        <d v="2011-08-04T00:00:00"/>
        <d v="2014-01-06T00:00:00"/>
        <d v="2011-02-20T00:00:00"/>
        <d v="2013-06-07T00:00:00"/>
        <d v="2014-04-04T00:00:00"/>
        <d v="2014-03-22T00:00:00"/>
        <d v="2014-10-07T00:00:00"/>
        <d v="2014-03-23T00:00:00"/>
        <d v="2011-04-04T00:00:00"/>
        <d v="2012-03-21T00:00:00"/>
        <d v="2013-03-28T00:00:00"/>
        <d v="2014-09-05T00:00:00"/>
        <d v="2014-03-30T00:00:00"/>
        <d v="2013-03-27T00:00:00"/>
        <d v="2011-08-07T00:00:00"/>
        <d v="2011-03-23T00:00:00"/>
        <d v="2014-11-07T00:00:00"/>
        <d v="2013-04-01T00:00:00"/>
        <d v="2013-06-05T00:00:00"/>
        <d v="2012-04-01T00:00:00"/>
        <d v="2012-03-28T00:00:00"/>
        <d v="2013-03-17T00:00:00"/>
        <d v="2014-03-25T00:00:00"/>
        <d v="2014-01-07T00:00:00"/>
        <d v="2014-04-05T00:00:00"/>
        <d v="2014-12-07T00:00:00"/>
        <d v="2013-04-04T00:00:00"/>
        <d v="2013-03-16T00:00:00"/>
        <d v="2011-03-30T00:00:00"/>
        <d v="2011-08-09T00:00:00"/>
        <d v="2014-01-04T00:00:00"/>
        <d v="2012-03-29T00:00:00"/>
        <d v="2012-03-23T00:00:00"/>
        <d v="2011-12-03T00:00:00"/>
        <d v="2014-03-17T00:00:00"/>
        <d v="2013-12-07T00:00:00"/>
        <d v="2013-04-02T00:00:00"/>
        <d v="2011-03-25T00:00:00"/>
        <d v="2012-05-09T00:00:00"/>
        <d v="2014-04-08T00:00:00"/>
        <d v="2011-09-04T00:00:00"/>
        <d v="2013-05-07T00:00:00"/>
        <d v="2011-03-19T00:00:00"/>
        <d v="2011-03-09T00:00:00"/>
        <d v="2013-03-31T00:00:00"/>
        <d v="2013-06-10T00:00:00"/>
        <d v="2013-12-08T00:00:00"/>
        <d v="2011-05-07T00:00:00"/>
        <d v="2014-10-03T00:00:00"/>
        <d v="2013-01-05T00:00:00"/>
        <d v="2012-03-22T00:00:00"/>
        <d v="2014-03-18T00:00:00"/>
        <d v="2011-01-08T00:00:00"/>
        <d v="2014-12-03T00:00:00"/>
        <d v="2012-04-07T00:00:00"/>
        <d v="2013-07-04T00:00:00"/>
        <d v="2014-03-20T00:00:00"/>
        <d v="2012-11-07T00:00:00"/>
        <d v="2012-12-09T00:00:00"/>
        <d v="2012-03-31T00:00:00"/>
        <d v="2012-03-25T00:00:00"/>
        <d v="2011-03-21T00:00:00"/>
        <d v="2011-05-05T00:00:00"/>
        <d v="2013-04-25T00:00:00"/>
        <d v="2014-04-20T00:00:00"/>
        <d v="2014-01-08T00:00:00"/>
        <d v="2011-04-30T00:00:00"/>
        <d v="2013-04-27T00:00:00"/>
        <d v="2012-09-08T00:00:00"/>
        <d v="2011-04-29T00:00:00"/>
        <d v="2013-04-24T00:00:00"/>
        <d v="2014-05-01T00:00:00"/>
        <d v="2012-04-22T00:00:00"/>
        <d v="2012-04-18T00:00:00"/>
        <d v="2012-04-28T00:00:00"/>
        <d v="2013-04-15T00:00:00"/>
        <d v="2014-11-09T00:00:00"/>
        <d v="2011-04-22T00:00:00"/>
        <d v="2013-04-20T00:00:00"/>
        <d v="2012-05-10T00:00:00"/>
        <d v="2013-01-06T00:00:00"/>
        <d v="2012-04-14T00:00:00"/>
        <d v="2013-04-22T00:00:00"/>
        <d v="2014-08-08T00:00:00"/>
        <d v="2013-06-08T00:00:00"/>
        <d v="2014-04-06T00:00:00"/>
        <d v="2012-04-27T00:00:00"/>
        <d v="2014-10-10T00:00:00"/>
        <d v="2014-07-07T00:00:00"/>
        <d v="2014-06-09T00:00:00"/>
        <d v="2013-10-09T00:00:00"/>
        <d v="2011-02-09T00:00:00"/>
        <d v="2013-05-04T00:00:00"/>
        <d v="2012-04-17T00:00:00"/>
        <d v="2011-04-17T00:00:00"/>
        <d v="2011-04-28T00:00:00"/>
        <d v="2014-04-29T00:00:00"/>
        <d v="2014-09-10T00:00:00"/>
        <d v="2012-05-03T00:00:00"/>
        <d v="2011-04-09T00:00:00"/>
        <d v="2013-03-09T00:00:00"/>
        <d v="2011-05-08T00:00:00"/>
        <d v="2014-04-19T00:00:00"/>
        <d v="2013-04-26T00:00:00"/>
        <d v="2014-07-09T00:00:00"/>
        <d v="2011-11-09T00:00:00"/>
        <d v="2013-05-02T00:00:00"/>
        <d v="2014-07-08T00:00:00"/>
        <d v="2011-04-21T00:00:00"/>
        <d v="2012-04-19T00:00:00"/>
        <d v="2014-04-28T00:00:00"/>
        <d v="2012-04-20T00:00:00"/>
        <d v="2013-04-10T00:00:00"/>
        <d v="2012-04-26T00:00:00"/>
        <d v="2014-09-08T00:00:00"/>
        <d v="2014-04-22T00:00:00"/>
        <d v="2014-12-11T00:00:00"/>
        <d v="2013-04-30T00:00:00"/>
        <d v="2014-06-08T00:00:00"/>
        <d v="2014-10-09T00:00:00"/>
        <d v="2013-04-09T00:00:00"/>
        <d v="2013-05-09T00:00:00"/>
        <d v="2011-10-10T00:00:00"/>
        <d v="2013-05-31T00:00:00"/>
        <d v="2011-06-05T00:00:00"/>
        <d v="2012-05-25T00:00:00"/>
        <d v="2014-09-09T00:00:00"/>
        <d v="2014-05-23T00:00:00"/>
        <d v="2012-06-09T00:00:00"/>
        <d v="2014-05-18T00:00:00"/>
        <d v="2012-12-06T00:00:00"/>
        <d v="2012-06-03T00:00:00"/>
        <d v="2013-06-12T00:00:00"/>
        <d v="2013-09-11T00:00:00"/>
        <d v="2013-11-11T00:00:00"/>
        <d v="2012-05-19T00:00:00"/>
        <d v="2011-03-08T00:00:00"/>
        <d v="2012-05-29T00:00:00"/>
        <d v="2012-05-27T00:00:00"/>
        <d v="2014-05-21T00:00:00"/>
        <d v="2011-06-02T00:00:00"/>
        <d v="2014-05-22T00:00:00"/>
        <d v="2013-05-19T00:00:00"/>
        <d v="2014-03-09T00:00:00"/>
        <d v="2013-11-08T00:00:00"/>
        <d v="2013-05-20T00:00:00"/>
        <d v="2014-05-25T00:00:00"/>
        <d v="2014-05-27T00:00:00"/>
        <d v="2011-05-23T00:00:00"/>
        <d v="2011-07-05T00:00:00"/>
        <d v="2013-05-29T00:00:00"/>
        <d v="2014-06-01T00:00:00"/>
        <d v="2014-11-08T00:00:00"/>
        <d v="2011-05-24T00:00:00"/>
        <d v="2014-09-11T00:00:00"/>
        <d v="2011-12-12T00:00:00"/>
        <d v="2014-05-16T00:00:00"/>
        <d v="2013-05-30T00:00:00"/>
        <d v="2013-11-10T00:00:00"/>
        <d v="2013-05-22T00:00:00"/>
        <d v="2011-04-07T00:00:00"/>
        <d v="2011-05-17T00:00:00"/>
        <d v="2012-03-09T00:00:00"/>
        <d v="2012-05-23T00:00:00"/>
        <d v="2014-05-20T00:00:00"/>
        <d v="2013-05-21T00:00:00"/>
        <d v="2011-09-10T00:00:00"/>
        <d v="2012-05-20T00:00:00"/>
        <d v="2012-01-11T00:00:00"/>
        <d v="2014-02-08T00:00:00"/>
        <d v="2012-05-28T00:00:00"/>
        <d v="2012-05-31T00:00:00"/>
        <d v="2012-05-21T00:00:00"/>
        <d v="2014-05-19T00:00:00"/>
        <d v="2013-05-25T00:00:00"/>
        <d v="2014-06-02T00:00:00"/>
        <d v="2011-05-25T00:00:00"/>
        <d v="2012-11-11T00:00:00"/>
        <d v="2011-05-27T00:00:00"/>
        <d v="2012-06-01T00:00:00"/>
        <d v="2013-05-18T00:00:00"/>
        <d v="2013-06-02T00:00:00"/>
        <d v="2011-06-17T00:00:00"/>
        <d v="2011-06-09T00:00:00"/>
        <d v="2013-06-27T00:00:00"/>
        <d v="2014-06-30T00:00:00"/>
        <d v="2013-06-25T00:00:00"/>
        <d v="2012-06-23T00:00:00"/>
        <d v="2011-12-08T00:00:00"/>
        <d v="2012-07-02T00:00:00"/>
        <d v="2011-06-20T00:00:00"/>
        <d v="2014-11-11T00:00:00"/>
        <d v="2013-06-17T00:00:00"/>
        <d v="2014-06-29T00:00:00"/>
        <d v="2014-06-27T00:00:00"/>
        <d v="2014-06-23T00:00:00"/>
        <d v="2014-06-25T00:00:00"/>
        <d v="2012-03-11T00:00:00"/>
        <d v="2014-12-08T00:00:00"/>
        <d v="2014-06-21T00:00:00"/>
        <d v="2013-06-23T00:00:00"/>
        <d v="2013-09-12T00:00:00"/>
        <d v="2014-06-18T00:00:00"/>
        <d v="2012-06-25T00:00:00"/>
        <d v="2013-02-10T00:00:00"/>
        <d v="2011-06-29T00:00:00"/>
        <d v="2014-06-06T00:00:00"/>
        <d v="2013-08-10T00:00:00"/>
        <d v="2012-06-30T00:00:00"/>
        <d v="2013-06-30T00:00:00"/>
        <d v="2014-06-28T00:00:00"/>
        <d v="2014-12-12T00:00:00"/>
        <d v="2014-07-03T00:00:00"/>
        <d v="2013-06-24T00:00:00"/>
        <d v="2013-06-26T00:00:00"/>
        <d v="2013-07-01T00:00:00"/>
        <d v="2013-06-14T00:00:00"/>
        <d v="2014-06-22T00:00:00"/>
        <d v="2014-08-10T00:00:00"/>
        <d v="2012-06-19T00:00:00"/>
        <d v="2011-06-24T00:00:00"/>
        <d v="2013-06-19T00:00:00"/>
        <d v="2011-02-10T00:00:00"/>
        <d v="2011-06-27T00:00:00"/>
        <d v="2012-06-28T00:00:00"/>
        <d v="2012-07-03T00:00:00"/>
        <d v="2011-04-12T00:00:00"/>
        <d v="2012-07-01T00:00:00"/>
        <d v="2014-06-19T00:00:00"/>
        <d v="2013-09-06T00:00:00"/>
        <d v="2014-08-12T00:00:00"/>
        <d v="2013-09-10T00:00:00"/>
        <d v="2011-06-23T00:00:00"/>
        <d v="2011-07-31T00:00:00"/>
        <d v="2011-07-30T00:00:00"/>
        <d v="2013-07-19T00:00:00"/>
        <d v="2013-08-02T00:00:00"/>
        <d v="2011-04-11T00:00:00"/>
        <d v="2012-08-06T00:00:00"/>
        <d v="2012-07-31T00:00:00"/>
        <d v="2013-07-29T00:00:00"/>
        <d v="2011-07-22T00:00:00"/>
        <d v="2013-06-11T00:00:00"/>
        <d v="2012-01-10T00:00:00"/>
        <d v="2012-07-30T00:00:00"/>
        <d v="2014-07-28T00:00:00"/>
        <d v="2013-07-24T00:00:00"/>
        <d v="2014-05-13T00:00:00"/>
        <d v="2011-07-24T00:00:00"/>
        <d v="2012-09-12T00:00:00"/>
        <d v="2011-06-14T00:00:00"/>
        <d v="2012-07-25T00:00:00"/>
        <d v="2013-07-22T00:00:00"/>
        <d v="2013-11-13T00:00:00"/>
        <d v="2012-07-26T00:00:00"/>
        <d v="2011-07-20T00:00:00"/>
        <d v="2011-10-09T00:00:00"/>
        <d v="2013-05-12T00:00:00"/>
        <d v="2014-10-13T00:00:00"/>
        <d v="2013-08-14T00:00:00"/>
        <d v="2014-11-12T00:00:00"/>
        <d v="2012-07-27T00:00:00"/>
        <d v="2012-12-13T00:00:00"/>
        <d v="2014-07-24T00:00:00"/>
        <d v="2014-07-30T00:00:00"/>
        <d v="2014-05-11T00:00:00"/>
        <d v="2012-08-02T00:00:00"/>
        <d v="2013-07-21T00:00:00"/>
        <d v="2014-07-16T00:00:00"/>
        <d v="2014-07-21T00:00:00"/>
        <d v="2012-08-01T00:00:00"/>
        <d v="2012-04-11T00:00:00"/>
        <d v="2012-07-19T00:00:00"/>
        <d v="2013-07-25T00:00:00"/>
        <d v="2013-07-20T00:00:00"/>
        <d v="2012-07-17T00:00:00"/>
        <d v="2013-07-17T00:00:00"/>
        <d v="2011-07-26T00:00:00"/>
        <d v="2011-08-02T00:00:00"/>
        <d v="2014-05-12T00:00:00"/>
        <d v="2014-07-31T00:00:00"/>
        <d v="2013-12-12T00:00:00"/>
        <d v="2012-09-13T00:00:00"/>
        <d v="2014-07-20T00:00:00"/>
        <d v="2012-03-10T00:00:00"/>
        <d v="2014-11-14T00:00:00"/>
        <d v="2012-09-09T00:00:00"/>
        <d v="2013-07-27T00:00:00"/>
        <d v="2014-10-11T00:00:00"/>
        <d v="2011-09-13T00:00:00"/>
        <d v="2012-02-11T00:00:00"/>
        <d v="2014-07-12T00:00:00"/>
        <d v="2012-08-24T00:00:00"/>
        <d v="2013-07-12T00:00:00"/>
        <d v="2014-08-20T00:00:00"/>
        <d v="2014-08-25T00:00:00"/>
        <d v="2013-08-21T00:00:00"/>
        <d v="2011-08-19T00:00:00"/>
        <d v="2014-08-18T00:00:00"/>
        <d v="2014-08-23T00:00:00"/>
        <d v="2012-08-10T00:00:00"/>
        <d v="2014-08-27T00:00:00"/>
        <d v="2013-04-14T00:00:00"/>
        <d v="2013-08-27T00:00:00"/>
        <d v="2011-08-23T00:00:00"/>
        <d v="2011-08-27T00:00:00"/>
        <d v="2012-08-21T00:00:00"/>
        <d v="2014-12-10T00:00:00"/>
        <d v="2014-08-26T00:00:00"/>
        <d v="2013-08-20T00:00:00"/>
        <d v="2012-06-12T00:00:00"/>
        <d v="2013-09-02T00:00:00"/>
        <d v="2013-08-30T00:00:00"/>
        <d v="2011-08-29T00:00:00"/>
        <d v="2013-08-28T00:00:00"/>
        <d v="2014-08-17T00:00:00"/>
        <d v="2014-05-14T00:00:00"/>
        <d v="2013-08-24T00:00:00"/>
        <d v="2012-11-13T00:00:00"/>
        <d v="2013-08-31T00:00:00"/>
        <d v="2014-08-30T00:00:00"/>
        <d v="2011-09-12T00:00:00"/>
        <d v="2011-08-30T00:00:00"/>
        <d v="2014-09-02T00:00:00"/>
        <d v="2011-03-14T00:00:00"/>
        <d v="2011-08-20T00:00:00"/>
        <d v="2011-09-01T00:00:00"/>
        <d v="2012-09-05T00:00:00"/>
        <d v="2014-08-22T00:00:00"/>
        <d v="2012-08-20T00:00:00"/>
        <d v="2014-04-13T00:00:00"/>
        <d v="2011-09-03T00:00:00"/>
        <d v="2013-08-23T00:00:00"/>
        <d v="2014-08-21T00:00:00"/>
        <d v="2013-08-18T00:00:00"/>
        <d v="2013-03-10T00:00:00"/>
        <d v="2012-08-31T00:00:00"/>
        <d v="2012-09-02T00:00:00"/>
        <d v="2011-03-12T00:00:00"/>
        <d v="2014-08-24T00:00:00"/>
        <d v="2014-08-14T00:00:00"/>
        <d v="2011-08-28T00:00:00"/>
        <d v="2011-09-11T00:00:00"/>
        <d v="2013-09-03T00:00:00"/>
        <d v="2012-09-03T00:00:00"/>
        <d v="2014-09-01T00:00:00"/>
        <d v="2014-08-29T00:00:00"/>
        <d v="2012-06-10T00:00:00"/>
        <d v="2013-09-30T00:00:00"/>
        <d v="2012-09-18T00:00:00"/>
        <d v="2011-09-21T00:00:00"/>
        <d v="2013-09-20T00:00:00"/>
        <d v="2013-09-24T00:00:00"/>
        <d v="2014-12-14T00:00:00"/>
        <d v="2014-09-27T00:00:00"/>
        <d v="2014-08-13T00:00:00"/>
        <d v="2014-09-24T00:00:00"/>
        <d v="2012-10-01T00:00:00"/>
        <d v="2011-08-15T00:00:00"/>
        <d v="2011-09-24T00:00:00"/>
        <d v="2013-08-15T00:00:00"/>
        <d v="2011-06-13T00:00:00"/>
        <d v="2014-09-23T00:00:00"/>
        <d v="2012-09-24T00:00:00"/>
        <d v="2014-09-14T00:00:00"/>
        <d v="2013-09-22T00:00:00"/>
        <d v="2011-09-30T00:00:00"/>
        <d v="2011-09-19T00:00:00"/>
        <d v="2014-09-19T00:00:00"/>
        <d v="2011-10-04T00:00:00"/>
        <d v="2011-02-14T00:00:00"/>
        <d v="2012-03-13T00:00:00"/>
        <d v="2012-08-14T00:00:00"/>
        <d v="2014-09-22T00:00:00"/>
        <d v="2013-08-13T00:00:00"/>
        <d v="2011-12-14T00:00:00"/>
        <d v="2013-09-19T00:00:00"/>
        <d v="2014-03-12T00:00:00"/>
        <d v="2011-09-29T00:00:00"/>
        <d v="2013-08-12T00:00:00"/>
        <d v="2012-09-27T00:00:00"/>
        <d v="2014-09-17T00:00:00"/>
        <d v="2014-06-15T00:00:00"/>
        <d v="2011-09-28T00:00:00"/>
        <d v="2014-09-20T00:00:00"/>
        <d v="2013-05-11T00:00:00"/>
        <d v="2013-12-15T00:00:00"/>
        <d v="2011-09-22T00:00:00"/>
        <d v="2013-03-13T00:00:00"/>
        <d v="2012-09-28T00:00:00"/>
        <d v="2013-09-23T00:00:00"/>
        <d v="2014-09-26T00:00:00"/>
        <d v="2014-09-29T00:00:00"/>
        <d v="2014-09-28T00:00:00"/>
        <d v="2011-10-15T00:00:00"/>
        <d v="2014-09-30T00:00:00"/>
        <d v="2013-10-02T00:00:00"/>
        <d v="2012-09-14T00:00:00"/>
        <d v="2014-09-12T00:00:00"/>
        <d v="2014-09-18T00:00:00"/>
        <d v="2013-09-27T00:00:00"/>
        <d v="2012-09-23T00:00:00"/>
        <d v="2012-09-21T00:00:00"/>
        <d v="2013-05-13T00:00:00"/>
        <d v="2013-07-11T00:00:00"/>
        <d v="2011-02-15T00:00:00"/>
        <d v="2011-10-19T00:00:00"/>
        <d v="2012-10-17T00:00:00"/>
        <d v="2014-10-21T00:00:00"/>
        <d v="2011-10-28T00:00:00"/>
        <d v="2013-10-27T00:00:00"/>
        <d v="2014-10-25T00:00:00"/>
        <d v="2014-11-03T00:00:00"/>
        <d v="2013-09-15T00:00:00"/>
        <d v="2012-10-24T00:00:00"/>
        <d v="2011-11-15T00:00:00"/>
        <d v="2012-10-21T00:00:00"/>
        <d v="2014-10-29T00:00:00"/>
        <d v="2012-04-16T00:00:00"/>
        <d v="2012-10-27T00:00:00"/>
        <d v="2012-12-14T00:00:00"/>
        <d v="2013-10-15T00:00:00"/>
        <d v="2013-11-03T00:00:00"/>
        <d v="2014-10-19T00:00:00"/>
        <d v="2014-10-26T00:00:00"/>
        <d v="2013-11-02T00:00:00"/>
        <d v="2013-06-13T00:00:00"/>
        <d v="2014-10-16T00:00:00"/>
        <d v="2012-08-12T00:00:00"/>
        <d v="2012-10-18T00:00:00"/>
        <d v="2014-10-22T00:00:00"/>
        <d v="2012-12-16T00:00:00"/>
        <d v="2014-10-28T00:00:00"/>
        <d v="2012-10-26T00:00:00"/>
        <d v="2014-06-11T00:00:00"/>
        <d v="2014-11-04T00:00:00"/>
        <d v="2011-09-16T00:00:00"/>
        <d v="2013-06-15T00:00:00"/>
        <d v="2014-12-16T00:00:00"/>
        <d v="2013-10-30T00:00:00"/>
        <d v="2011-10-20T00:00:00"/>
        <d v="2011-01-15T00:00:00"/>
        <d v="2013-10-22T00:00:00"/>
        <d v="2013-10-20T00:00:00"/>
        <d v="2013-10-25T00:00:00"/>
        <d v="2011-11-02T00:00:00"/>
        <d v="2014-04-12T00:00:00"/>
        <d v="2012-10-20T00:00:00"/>
        <d v="2013-04-16T00:00:00"/>
        <d v="2013-11-04T00:00:00"/>
        <d v="2013-10-26T00:00:00"/>
        <d v="2013-10-18T00:00:00"/>
        <d v="2012-11-04T00:00:00"/>
        <d v="2011-10-22T00:00:00"/>
        <d v="2012-11-14T00:00:00"/>
        <d v="2011-10-27T00:00:00"/>
        <d v="2011-10-30T00:00:00"/>
        <d v="2014-10-23T00:00:00"/>
        <d v="2011-12-16T00:00:00"/>
        <d v="2014-11-02T00:00:00"/>
        <d v="2013-10-21T00:00:00"/>
        <d v="2014-09-16T00:00:00"/>
        <d v="2014-11-29T00:00:00"/>
        <d v="2014-02-13T00:00:00"/>
        <d v="2012-11-22T00:00:00"/>
        <d v="2013-11-27T00:00:00"/>
        <d v="2012-11-30T00:00:00"/>
        <d v="2012-06-13T00:00:00"/>
        <d v="2014-11-16T00:00:00"/>
        <d v="2012-11-26T00:00:00"/>
        <d v="2014-11-19T00:00:00"/>
        <d v="2011-11-29T00:00:00"/>
        <d v="2014-11-25T00:00:00"/>
        <d v="2013-12-17T00:00:00"/>
        <d v="2014-11-24T00:00:00"/>
        <d v="2014-11-27T00:00:00"/>
        <d v="2011-06-15T00:00:00"/>
        <d v="2012-11-18T00:00:00"/>
        <d v="2014-07-15T00:00:00"/>
        <d v="2014-11-18T00:00:00"/>
        <d v="2011-08-18T00:00:00"/>
        <d v="2014-06-14T00:00:00"/>
        <d v="2014-11-30T00:00:00"/>
        <d v="2013-11-19T00:00:00"/>
        <d v="2013-11-17T00:00:00"/>
        <d v="2012-12-01T00:00:00"/>
        <d v="2011-11-18T00:00:00"/>
        <d v="2013-11-28T00:00:00"/>
        <d v="2014-11-23T00:00:00"/>
        <d v="2014-04-17T00:00:00"/>
        <d v="2014-11-22T00:00:00"/>
        <d v="2012-11-24T00:00:00"/>
        <d v="2012-06-14T00:00:00"/>
        <d v="2012-11-20T00:00:00"/>
        <d v="2013-11-21T00:00:00"/>
        <d v="2013-11-26T00:00:00"/>
        <d v="2011-11-24T00:00:00"/>
        <d v="2014-06-16T00:00:00"/>
        <d v="2014-11-20T00:00:00"/>
        <d v="2013-12-03T00:00:00"/>
        <d v="2014-03-16T00:00:00"/>
        <d v="2013-09-17T00:00:00"/>
        <d v="2011-05-15T00:00:00"/>
        <d v="2013-11-18T00:00:00"/>
        <d v="2013-11-29T00:00:00"/>
        <d v="2011-11-22T00:00:00"/>
        <d v="2012-10-14T00:00:00"/>
        <d v="2011-11-14T00:00:00"/>
        <d v="2014-12-02T00:00:00"/>
        <d v="2012-11-28T00:00:00"/>
        <d v="2013-11-23T00:00:00"/>
        <d v="2012-05-15T00:00:00"/>
        <d v="2013-11-25T00:00:00"/>
        <d v="2012-11-15T00:00:00"/>
        <d v="2014-02-15T00:00:00"/>
        <d v="2014-12-15T00:00:00"/>
        <d v="2013-12-22T00:00:00"/>
        <d v="2012-12-19T00:00:00"/>
        <d v="2011-10-16T00:00:00"/>
        <d v="2014-12-20T00:00:00"/>
        <d v="2014-12-19T00:00:00"/>
        <d v="2013-01-03T00:00:00"/>
        <d v="2012-12-30T00:00:00"/>
        <d v="2013-08-16T00:00:00"/>
        <d v="2014-01-01T00:00:00"/>
        <d v="2013-12-29T00:00:00"/>
        <d v="2013-09-14T00:00:00"/>
        <d v="2012-01-01T00:00:00"/>
        <d v="2014-12-24T00:00:00"/>
        <d v="2013-12-18T00:00:00"/>
        <d v="2011-12-17T00:00:00"/>
        <d v="2014-12-29T00:00:00"/>
        <d v="2011-12-22T00:00:00"/>
        <d v="2015-01-05T00:00:00"/>
        <d v="2013-12-28T00:00:00"/>
        <d v="2011-12-21T00:00:00"/>
        <d v="2015-01-04T00:00:00"/>
        <d v="2013-12-27T00:00:00"/>
        <d v="2012-03-17T00:00:00"/>
        <d v="2014-08-16T00:00:00"/>
        <d v="2014-12-28T00:00:00"/>
        <d v="2012-12-20T00:00:00"/>
        <d v="2014-12-17T00:00:00"/>
        <d v="2011-12-18T00:00:00"/>
        <d v="2013-01-01T00:00:00"/>
        <d v="2011-12-20T00:00:00"/>
        <d v="2012-12-29T00:00:00"/>
        <d v="2011-12-29T00:00:00"/>
        <d v="2012-01-03T00:00:00"/>
        <d v="2011-12-24T00:00:00"/>
        <d v="2012-12-21T00:00:00"/>
        <d v="2011-12-19T00:00:00"/>
        <d v="2011-12-25T00:00:00"/>
        <d v="2014-01-02T00:00:00"/>
        <d v="2014-12-21T00:00:00"/>
        <d v="2014-12-30T00:00:00"/>
        <d v="2012-12-24T00:00:00"/>
        <d v="2015-01-01T00:00:00"/>
        <d v="2012-12-23T00:00:00"/>
        <d v="2012-01-17T00:00:00"/>
        <d v="2011-03-17T00:00:00"/>
        <d v="2013-12-23T00:00:00"/>
        <d v="2013-03-14T00:00:00"/>
      </sharedItems>
      <fieldGroup par="25"/>
    </cacheField>
    <cacheField name="ship_mode" numFmtId="0">
      <sharedItems/>
    </cacheField>
    <cacheField name="customer_name" numFmtId="0">
      <sharedItems count="556">
        <s v="Nicole Hansen"/>
        <s v="Emily Ducich"/>
        <s v="Jennifer Braxton"/>
        <s v="Alan Shonely"/>
        <s v="Andy Reiter"/>
        <s v="Guy Thornton"/>
        <s v="Katherine Ducich"/>
        <s v="Chuck Magee"/>
        <s v="John Huston"/>
        <s v="Julie Kriz"/>
        <s v="Craig Molinari"/>
        <s v="Joy Daniels"/>
        <s v="Nathan Mautz"/>
        <s v="Harry Marie"/>
        <s v="Eugene Hildebrand"/>
        <s v="Greg Tran"/>
        <s v="Dennis Kane"/>
        <s v="Suzanne McNair"/>
        <s v="Sample Company A"/>
        <s v="Craig Yedwab"/>
        <s v="Sally Hughsby"/>
        <s v="Tanja Norvell"/>
        <s v="Xylona Preis"/>
        <s v="Brian Dahlen"/>
        <s v="Ruben Ausman"/>
        <s v="Aaron Hawkins"/>
        <s v="Alan Haines"/>
        <s v="Troy Staebel"/>
        <s v="Trudy Glocke"/>
        <s v="Jason Fortune-"/>
        <s v="Muhammed Yedwab"/>
        <s v="Rick Hansen"/>
        <s v="Jim Mitchum"/>
        <s v="Tamara Chand"/>
        <s v="Darrin Van Huff"/>
        <s v="Barbara Fisher"/>
        <s v="Sheri Gordon"/>
        <s v="Bradley Talbott"/>
        <s v="Paul Stevenson"/>
        <s v="Michael Paige"/>
        <s v="Tracy Collins"/>
        <s v="Erin Creighton"/>
        <s v="Steve Carroll"/>
        <s v="Frank Olsen"/>
        <s v="Kunst Miller"/>
        <s v="Harold Pawlan"/>
        <s v="Sung Shariari"/>
        <s v="Roger Demir"/>
        <s v="Scot Coram"/>
        <s v="Susan Gilcrest"/>
        <s v="Vicky Freymann"/>
        <s v="Roland Schwarz"/>
        <s v="Greg Matthias"/>
        <s v="Darren Koutras"/>
        <s v="Doug Bickford"/>
        <s v="Joel Jenkins"/>
        <s v="Vivek Gonzalez"/>
        <s v="Sue Ann Reed"/>
        <s v="Jay Fein"/>
        <s v="Jim Karlsson"/>
        <s v="Kelly Andreada"/>
        <s v="Erica Hackney"/>
        <s v="Alan Barnes"/>
        <s v="Edward Becker"/>
        <s v="Gene McClure"/>
        <s v="Magdelene Morse"/>
        <s v="Joe Elijah"/>
        <s v="Parhena Norris"/>
        <s v="Brad Norvell"/>
        <s v="Ivan Gibson"/>
        <s v="Alice McCarthy"/>
        <s v="Michelle Ellison"/>
        <s v="Julia Dunbar"/>
        <s v="Theresa Coyne"/>
        <s v="Mitch Webber"/>
        <s v="Nona Balk"/>
        <s v="Pete Kriz"/>
        <s v="Marc Harrigan"/>
        <s v="Nathan Gelder"/>
        <s v="Arianne Irving"/>
        <s v="Bill Eplett"/>
        <s v="Pauline Chand"/>
        <s v="Justin Hirsh"/>
        <s v="Roy Phan"/>
        <s v="Fred McMath"/>
        <s v="Sean Wendt"/>
        <s v="Rachel Payne"/>
        <s v="Emily Grady"/>
        <s v="Mark Haberlin"/>
        <s v="Maya Herman"/>
        <s v="Katrina Willman"/>
        <s v="Jack Lebron"/>
        <s v="Irene Maddox"/>
        <s v="Carl Ludwig"/>
        <s v="Bobby Odegard"/>
        <s v="Maribeth Yedwab"/>
        <s v="Sean Christensen"/>
        <s v="Roger Barcio"/>
        <s v="Jennifer Patt"/>
        <s v="Claudia Bergmann"/>
        <s v="Muhammed Lee"/>
        <s v="Christine Phan"/>
        <s v="Denny Ordway"/>
        <s v="Robert Dilbeck"/>
        <s v="Ben Wallace"/>
        <s v="Michelle Tran"/>
        <s v="Dianna Wilson"/>
        <s v="Bart Folk"/>
        <s v="Evan Minnotte"/>
        <s v="Cynthia Arntzen"/>
        <s v="Eudokia Martin"/>
        <s v="Clay Cheatham"/>
        <s v="Penelope Sewall"/>
        <s v="Rob Haberlin"/>
        <s v="Tom Boeckenhauer"/>
        <s v="Ross Baird"/>
        <s v="Herbert Flentye"/>
        <s v="Vivek Grady"/>
        <s v="Ralph Kennedy"/>
        <s v="Kimberly Carter"/>
        <s v="Mike Caudle"/>
        <s v="Erin Ashbrook"/>
        <s v="Meg O'Connel"/>
        <s v="Natalie Webber"/>
        <s v="Dave Kipp"/>
        <s v="Cathy Hwang"/>
        <s v="Russell D'Ascenzo"/>
        <s v="Randy Bradley"/>
        <s v="Ed Ludwig"/>
        <s v="Stewart Visinsky"/>
        <s v="Robert Waldorf"/>
        <s v="Justin MacKendrick"/>
        <s v="Dianna Vittorini"/>
        <s v="Jonathan Doherty"/>
        <s v="Pete Armstrong"/>
        <s v="Nicole Brennan"/>
        <s v="Alyssa Crouse"/>
        <s v="Helen Wasserman"/>
        <s v="Phillip Breyer"/>
        <s v="Maureen Fritzler"/>
        <s v="John Grady"/>
        <s v="Matt Abelman"/>
        <s v="Karen Bern"/>
        <s v="Brian Thompson"/>
        <s v="Jay Kimmel"/>
        <s v="Jill Fjeld"/>
        <s v="Philip Brown"/>
        <s v="Benjamin Patterson"/>
        <s v="Keith Herrera"/>
        <s v="Tracy Blumstein"/>
        <s v="Trudy Brown"/>
        <s v="Daniel Raglin"/>
        <s v="Ed Braxton"/>
        <s v="Liz Thompson"/>
        <s v="Denny Blanton"/>
        <s v="Dorothy Dickinson"/>
        <s v="Frank Gastineau"/>
        <s v="Pierre Wener"/>
        <s v="Art Ferguson"/>
        <s v="Gary Zandusky"/>
        <s v="Anthony Witt"/>
        <s v="Shahid Collister"/>
        <s v="Thea Hudgings"/>
        <s v="Chad McGuire"/>
        <s v="Ashley Jarboe"/>
        <s v="Richard Bierner"/>
        <s v="Andy Gerbode"/>
        <s v="Tiffany House"/>
        <s v="Cathy Armstrong"/>
        <s v="Anna Chung"/>
        <s v="Jim Radford"/>
        <s v="Yoseph Carroll"/>
        <s v="Bill Tyler"/>
        <s v="Logan Currie"/>
        <s v="Dean Katz"/>
        <s v="Raymond Messe"/>
        <s v="Mary O'Rourke"/>
        <s v="Rob Dowd"/>
        <s v="Steven Roelle"/>
        <s v="Aimee Bixby"/>
        <s v="Lisa Ryan"/>
        <s v="Fred Hopkins"/>
        <s v="Susan Pistek"/>
        <s v="Sandra Glassco"/>
        <s v="Aaron Smayling"/>
        <s v="Jamie Frazer"/>
        <s v="Kean Takahito"/>
        <s v="Mathew Reese"/>
        <s v="Patrick Ryan"/>
        <s v="Corey Catlett"/>
        <s v="Mike Vittorini"/>
        <s v="Eric Hoffmann"/>
        <s v="Sandra Flanagan"/>
        <s v="John Murray"/>
        <s v="Brian Stugart"/>
        <s v="Christina Anderson"/>
        <s v="Rick Bensley"/>
        <s v="Eileen Kiefer"/>
        <s v="Muhammed MacIntyre"/>
        <s v="Craig Carreira"/>
        <s v="Nora Paige"/>
        <s v="Shui Tom"/>
        <s v="Harold Ryan"/>
        <s v="Nat Gilpin"/>
        <s v="Chloris Kastensmidt"/>
        <s v="Sean Braxton"/>
        <s v="Cyma Kinney"/>
        <s v="Brosina Hoffman"/>
        <s v="Cathy Prescott"/>
        <s v="Thea Hendricks"/>
        <s v="Bill Donatelli"/>
        <s v="Cynthia Delaney"/>
        <s v="Matt Collins"/>
        <s v="Anthony Rawles"/>
        <s v="Jesus Ocampo"/>
        <s v="Toby Ritter"/>
        <s v="Anna Gayman"/>
        <s v="Mark Hamilton"/>
        <s v="Christopher Martinez"/>
        <s v="Theone Pippenger"/>
        <s v="Jas O'Carroll"/>
        <s v="Ellis Ballard"/>
        <s v="Lindsay Castell"/>
        <s v="Alex Avila"/>
        <s v="John Lee"/>
        <s v="Lauren Leatherbury"/>
        <s v="John Lucas"/>
        <s v="Georgia Rosenberg"/>
        <s v="Bryan Mills"/>
        <s v="Evan Henry"/>
        <s v="Grace Kelly"/>
        <s v="Heather Jas"/>
        <s v="Cynthia Voltz"/>
        <s v="Monica Federle"/>
        <s v="Katherine Nockton"/>
        <s v="Rick Duston"/>
        <s v="MaryBeth Skach"/>
        <s v="Alyssa Tate"/>
        <s v="Frank Hawley"/>
        <s v="Dan Reichenbach"/>
        <s v="Anna Andreadi"/>
        <s v="Maribeth Dona"/>
        <s v="Resi PÃ¶lking"/>
        <s v="Brooke Gillingham"/>
        <s v="Craig Leslie"/>
        <s v="Candace McMahon"/>
        <s v="Paul Van Hugh"/>
        <s v="Ann Steele"/>
        <s v="Sarah Brown"/>
        <s v="Kelly Williams"/>
        <s v="Theresa Swint"/>
        <s v="Todd Sumrall"/>
        <s v="Andy Yotov"/>
        <s v="Tony Chapman"/>
        <s v="Tamara Dahlen"/>
        <s v="Jason Klamczynski"/>
        <s v="Sylvia Foulston"/>
        <s v="Dave Brooks"/>
        <s v="Brad Thomas"/>
        <s v="Rob Williams"/>
        <s v="Emily Phan"/>
        <s v="Zuschuss Donatelli"/>
        <s v="Noah Childs"/>
        <s v="Sanjit Jacobs"/>
        <s v="Joe Kamberova"/>
        <s v="Adrian Barton"/>
        <s v="Henry MacAllister"/>
        <s v="Shaun Chance"/>
        <s v="Keith Dawkins"/>
        <s v="Charles Sheldon"/>
        <s v="Becky Castell"/>
        <s v="Christine Abelman"/>
        <s v="Gary McGarr"/>
        <s v="Jocasta Rupert"/>
        <s v="Paul Prost"/>
        <s v="Todd Boyes"/>
        <s v="Brian Derr"/>
        <s v="Arthur Gainer"/>
        <s v="Marc Crier"/>
        <s v="Benjamin Farhat"/>
        <s v="Mitch Gastineau"/>
        <s v="Peter McVee"/>
        <s v="Erin Smith"/>
        <s v="Adam Hart"/>
        <s v="Frank Preis"/>
        <s v="Maureen Gnade"/>
        <s v="Alan Dominguez"/>
        <s v="Karen Carlisle"/>
        <s v="Dan Campbell"/>
        <s v="Ken Lonsdale"/>
        <s v="Julia Barnett"/>
        <s v="Laurel Workman"/>
        <s v="Eugene Moren"/>
        <s v="Cindy Chapman"/>
        <s v="Anemone Ratner"/>
        <s v="Maribeth Schnelling"/>
        <s v="Justin Deggeller"/>
        <s v="Frank Merwin"/>
        <s v="Duane Noonan"/>
        <s v="Linda Cazamias"/>
        <s v="Anna HÃ¤berlin"/>
        <s v="Katherine Hughes"/>
        <s v="Delfina Latchford"/>
        <s v="Annie Zypern"/>
        <s v="David Philippe"/>
        <s v="Noel Staavos"/>
        <s v="Eva Jacobs"/>
        <s v="Melanie Seite"/>
        <s v="Max Ludwig"/>
        <s v="Erin Mull"/>
        <s v="Eric Barreto"/>
        <s v="Adam Bellavance"/>
        <s v="Grant Thornton"/>
        <s v="Giulietta Weimer"/>
        <s v="Harold Dahlen"/>
        <s v="Bill Stewart"/>
        <s v="Max Jones"/>
        <s v="Angele Hood"/>
        <s v="Dan Lawera"/>
        <s v="Skye Norling"/>
        <s v="Luke Foster"/>
        <s v="David Flashing"/>
        <s v="Michael Grace"/>
        <s v="Joni Sundaresam"/>
        <s v="Seth Vernon"/>
        <s v="Matt Connell"/>
        <s v="Neil Ducich"/>
        <s v="Matthew Clasen"/>
        <s v="Naresj Patel"/>
        <s v="Dorothy Badders"/>
        <s v="Mike Kennedy"/>
        <s v="Sanjit Engle"/>
        <s v="Pete Takahito"/>
        <s v="Jeremy Ellison"/>
        <s v="Helen Abelman"/>
        <s v="Joni Blumstein"/>
        <s v="Liz Willingham"/>
        <s v="Maurice Satty"/>
        <s v="Dario Medina"/>
        <s v="Bobby Elias"/>
        <s v="Duane Huffman"/>
        <s v="Joseph Airdo"/>
        <s v="Katrina Bavinger"/>
        <s v="Bill Shonely"/>
        <s v="Ross DeVincentis"/>
        <s v="Barry Gonzalez"/>
        <s v="Ken Black"/>
        <s v="Susan Vittorini"/>
        <s v="Lena Creighton"/>
        <s v="Denise Leinenbach"/>
        <s v="Toby Braunhardt"/>
        <s v="Michelle Arnett"/>
        <s v="Lena Cacioppo"/>
        <s v="Darrin Martin"/>
        <s v="Erica Smith"/>
        <s v="Logan Haushalter"/>
        <s v="Clay Ludtke"/>
        <s v="Adrian Hane"/>
        <s v="Amy Hunt"/>
        <s v="Toby Gnade"/>
        <s v="Deanra Eno"/>
        <s v="Lori Olson"/>
        <s v="Giulietta Dortch"/>
        <s v="Clytie Kelty"/>
        <s v="Raymond Buch"/>
        <s v="Dana Kaydos"/>
        <s v="Shirley Daniels"/>
        <s v="Allen Rosenblatt"/>
        <s v="Michael Moore"/>
        <s v="Evan Bailliet"/>
        <s v="Rick Huthwaite"/>
        <s v="Jeremy Farry"/>
        <s v="Katherine Murray"/>
        <s v="Ivan Liston"/>
        <s v="Harold Engle"/>
        <s v="Alejandro Ballentine"/>
        <s v="Cyra Reiten"/>
        <s v="Ann Blume"/>
        <s v="Zuschuss Carroll"/>
        <s v="Duane Benoit"/>
        <s v="Jennifer Halladay"/>
        <s v="Cari MacIntyre"/>
        <s v="Art Foster"/>
        <s v="Nora Preis"/>
        <s v="Fred Chung"/>
        <s v="Nick Zandusky"/>
        <s v="Elpida Rittenbach"/>
        <s v="Mark Cousins"/>
        <s v="Clay Rozendal"/>
        <s v="Jamie Kunitz"/>
        <s v="Saphhira Shifley"/>
        <s v="Becky Martin"/>
        <s v="Cindy Schnelling"/>
        <s v="Peter Fuller"/>
        <s v="Sally Knutson"/>
        <s v="Dionis Lloyd"/>
        <s v="Craig Reiter"/>
        <s v="Anne McFarland"/>
        <s v="Charlotte Melton"/>
        <s v="Greg Maxwell"/>
        <s v="Alex Grayson"/>
        <s v="Sam Zeldin"/>
        <s v="Sean Miller"/>
        <s v="Valerie Mitchum"/>
        <s v="Janet Molinari"/>
        <s v="Frank Carlisle"/>
        <s v="Christina VanderZanden"/>
        <s v="Gary Hansen"/>
        <s v="Astrea Jones"/>
        <s v="Jenna Caffey"/>
        <s v="Mitch Willingham"/>
        <s v="Peter BÃ¼hler"/>
        <s v="Ricardo Emerson"/>
        <s v="Shahid Hopkins"/>
        <s v="Brendan Murry"/>
        <s v="Patrick O'Brill"/>
        <s v="Joy Smith"/>
        <s v="Philip Fox"/>
        <s v="Cari Sayre"/>
        <s v="Ricardo Sperren"/>
        <s v="Deirdre Greer"/>
        <s v="Heather Kirkland"/>
        <s v="Stephanie Ulpright"/>
        <s v="Andrew Gjertsen"/>
        <s v="Jane Waco"/>
        <s v="Ken Dana"/>
        <s v="Amy Cox"/>
        <s v="Lisa Hazard"/>
        <s v="Roland Fjeld"/>
        <s v="Corey-Lock"/>
        <s v="James Galang"/>
        <s v="Roy FranzÃ¶sisch"/>
        <s v="Tom Ashbrook"/>
        <s v="Khloe Miller"/>
        <s v="Arthur Prichep"/>
        <s v="Victoria Brennan"/>
        <s v="Steve Chapman"/>
        <s v="Larry Tron"/>
        <s v="Mike Gockenbach"/>
        <s v="Henia Zydlo"/>
        <s v="David Kendrick"/>
        <s v="Mike Pelletier"/>
        <s v="Yana Sorensen"/>
        <s v="Cassandra Brandow"/>
        <s v="Allen Goldenen"/>
        <s v="Thomas Thornton"/>
        <s v="Patrick Jones"/>
        <s v="Mick Crebagga"/>
        <s v="Sanjit Chand"/>
        <s v="Kelly Collister"/>
        <s v="Carol Adams"/>
        <s v="Lena Radford"/>
        <s v="Denise Monton"/>
        <s v="Nancy Lomonaco"/>
        <s v="Natalie Fritzler"/>
        <s v="Hallie Redmond"/>
        <s v="Larry Hughes"/>
        <s v="Sonia Sunley"/>
        <s v="Carl Jackson"/>
        <s v="Matt Collister"/>
        <s v="Sarah Foster"/>
        <s v="Dianna Arnett"/>
        <s v="Sharelle Roach"/>
        <s v="Tim Brockman"/>
        <s v="Dorris liebe"/>
        <s v="Barry FranzÃ¶sisch"/>
        <s v="Bart Pistole"/>
        <s v="Nick Radford"/>
        <s v="Dean percer"/>
        <s v="Thomas Boland"/>
        <s v="Luke Schmidt"/>
        <s v="Stefanie Holloman"/>
        <s v="Katrina Edelman"/>
        <s v="Liz Pelletier"/>
        <s v="Liz Carlisle"/>
        <s v="Charles Crestani"/>
        <s v="Aleksandra Gannaway"/>
        <s v="Larry Blacks"/>
        <s v="Jack Garza"/>
        <s v="Paul Gonzalez"/>
        <s v="Tonja Turnell"/>
        <s v="Toby Swindell"/>
        <s v="Alejandro Grove"/>
        <s v="Cari Schnelling"/>
        <s v="Lisa DeCherney"/>
        <s v="Toby Carlisle"/>
        <s v="Brenda Bowman"/>
        <s v="Kalyca Meade"/>
        <s v="Brad Eason"/>
        <s v="Tony Sayre"/>
        <s v="Jill Matthias"/>
        <s v="Justin Ritter"/>
        <s v="Paul MacIntyre"/>
        <s v="Maria Zettner"/>
        <s v="Carol Triggs"/>
        <s v="Craig Carroll"/>
        <s v="Steven Ward"/>
        <s v="Corey Roper"/>
        <s v="Anthony Jacobs"/>
        <s v="Helen Andreada"/>
        <s v="Dennis Pardue"/>
        <s v="Carlos Soltero"/>
        <s v="Lynn Smith"/>
        <s v="Brian DeCherney"/>
        <s v="Karen Ferguson"/>
        <s v="Janet Lee"/>
        <s v="Gary Hwang"/>
        <s v="Anne Pryor"/>
        <s v="Henry Goldwyn"/>
        <s v="Anthony Johnson"/>
        <s v="Janet Martin"/>
        <s v="Eric Murdock"/>
        <s v="Allen Armold"/>
        <s v="Shahid Shariari"/>
        <s v="Joni Wasserman"/>
        <s v="Christine Sundaresam"/>
        <s v="Roy Skaria"/>
        <s v="Liz Preis"/>
        <s v="Matt Hagelstein"/>
        <s v="Paul Lucas"/>
        <s v="Liz MacKendrick"/>
        <s v="Mary Zewe"/>
        <s v="Harry Greene"/>
        <s v="Phillina Ober"/>
        <s v="Steve Nguyen"/>
        <s v="Bart Watters"/>
        <s v="George Ashbrook"/>
        <s v="Juliana Krohn"/>
        <s v="Caroline Jumper"/>
        <s v="Ryan Crowe"/>
        <s v="Kean Nguyen"/>
        <s v="Tony Molinari"/>
        <s v="Beth Paige"/>
        <s v="Ralph Ritter"/>
        <s v="Barry Weirich"/>
        <s v="William Brown"/>
        <s v="Annie Thurman"/>
        <s v="Robert Marley"/>
        <s v="Guy Armstrong"/>
        <s v="Rose O'Brian"/>
        <s v="Jason Gross"/>
        <s v="Barry Franz"/>
        <s v="Rob Lucas"/>
        <s v="Giulietta Baptist"/>
        <s v="Pauline Johnson"/>
        <s v="Max Engle"/>
        <s v="Fred Harton"/>
        <s v="Maria Etezadi"/>
        <s v="Daniel Lacy"/>
        <s v="Trudy Schmidt"/>
        <s v="Neil Knudson"/>
        <s v="Carol Darley"/>
        <s v="Bradley Nguyen"/>
        <s v="Carlos Daly"/>
        <s v="Ralph Arnett"/>
        <s v="Maureen Gastineau"/>
      </sharedItems>
    </cacheField>
    <cacheField name="segment" numFmtId="0">
      <sharedItems count="3">
        <s v="Corporate"/>
        <s v="Home Office"/>
        <s v="Consumer"/>
      </sharedItems>
    </cacheField>
    <cacheField name="state" numFmtId="0">
      <sharedItems/>
    </cacheField>
    <cacheField name="country" numFmtId="0">
      <sharedItems/>
    </cacheField>
    <cacheField name="market" numFmtId="0">
      <sharedItems/>
    </cacheField>
    <cacheField name="region" numFmtId="0">
      <sharedItems count="13">
        <s v="Southeast Asia"/>
        <s v="South"/>
        <s v="Central"/>
        <s v="Central Asia"/>
        <s v="EMEA"/>
        <s v="Africa"/>
        <s v="North"/>
        <s v="West"/>
        <s v="North Asia"/>
        <s v="Oceania"/>
        <s v="Canada"/>
        <s v="Caribbean"/>
        <s v="East"/>
      </sharedItems>
    </cacheField>
    <cacheField name="product_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7">
        <s v="Binders"/>
        <s v="Appliances"/>
        <s v="Furnishings"/>
        <s v="Storage"/>
        <s v="Labels"/>
        <s v="Art"/>
        <s v="Fasteners"/>
        <s v="Paper"/>
        <s v="Chairs"/>
        <s v="Phones"/>
        <s v="Machines"/>
        <s v="Accessories"/>
        <s v="Tables"/>
        <s v="Bookcases"/>
        <s v="Copiers"/>
        <s v="Supplies"/>
        <s v="Envelopes"/>
      </sharedItems>
    </cacheField>
    <cacheField name="product_name" numFmtId="0">
      <sharedItems count="826">
        <s v="Cardinal 3-Hole Punch, Economy"/>
        <s v="Hoover Toaster, Silver"/>
        <s v="Cardinal Binder Covers, Clear"/>
        <s v="Rubbermaid Stacking Tray, Erganomic"/>
        <s v="Tenex Shelving, Wire Frame"/>
        <s v="Smead Legal Exhibit Labels, Alphabetical"/>
        <s v="Hon File Folder Labels, 5000 Label Set"/>
        <s v="Stanley Pencil Sharpener, Easy-Erase"/>
        <s v="Stockwell Rubber Bands, 12 Pack"/>
        <s v="Eaton Note Cards, 8.5 x 11"/>
        <s v="Boston Highlighters, Blue"/>
        <s v="Avery Hole Reinforcements, Recycled"/>
        <s v="Eaton Computer Printout Paper, Recycled"/>
        <s v="Rogers Trays, Wire Frame"/>
        <s v="Novimex Swivel Fabric Task Chair"/>
        <s v="Cisco Office Telephone, VoIP"/>
        <s v="Novimex Color Coded Labels, 5000 Label Set"/>
        <s v="Southworth Parchment Paper &amp; Envelopes"/>
        <s v="Cisco Headset, VoIP"/>
        <s v="Acco Hole Reinforcements, Economy"/>
        <s v="Fellowes Lockers, Single Width"/>
        <s v="Sanford Sketch Pad, Fluorescent"/>
        <s v="Avery Removable Labels, Adjustable"/>
        <s v="Tennsco 6- and 18-Compartment Lockers"/>
        <s v="Panasonic Phone, Durable"/>
        <s v="Smead Box, Single Width"/>
        <s v="Hon File Folder Labels, Laser Printer Compatible"/>
        <s v="Motorola Smart Phone, Cordless"/>
        <s v="Cisco Signal Booster, with Caller ID"/>
        <s v="BIC Sketch Pad, Water Color"/>
        <s v="Sanford Sketch Pad, Blue"/>
        <s v="Tenex Box, Industrial"/>
        <s v="Boston Canvas, Water Color"/>
        <s v="Hoover Coffee Grinder, White"/>
        <s v="Self-Adhesive Address Labels for Typewriters by Universal"/>
        <s v="Motorola Signal Booster, VoIP"/>
        <s v="Enermax Router, Erganomic"/>
        <s v="Hon Bag Chairs, Set of Two"/>
        <s v="SanDisk Keyboard, USB"/>
        <s v="Avery Hole Reinforcements, Clear"/>
        <s v="Eldon Portable Mobile Manager"/>
        <s v="Advantus Door Stop, Durable"/>
        <s v="Boston Pens, Blue"/>
        <s v="Pressboard Data Binder, Crimson, 12&quot; X 8 1/2&quot;"/>
        <s v="Wilson Jones data.warehouse D-Ring Binders with DublLock"/>
        <s v="Binney &amp; Smith Highlighters, Blue"/>
        <s v="Samsung Signal Booster, Cordless"/>
        <s v="Lesro Round Table, Fully Assembled"/>
        <s v="Xerox Parchment Paper, Premium"/>
        <s v="Bush Library with Doors, Metal"/>
        <s v="Hewlett Copy Machine, High-Speed"/>
        <s v="Rogers Folders, Blue"/>
        <s v="Novimex Swivel Stool, Black"/>
        <s v="Avery Non-Stick Binders"/>
        <s v="Ibico Hole Reinforcements, Economy"/>
        <s v="Acme Office Executive Series Stainless Steel Trimmers"/>
        <s v="Enermax Cards &amp; Envelopes, 8.5 x 11"/>
        <s v="Xerox Message Books, Premium"/>
        <s v="Sharp Personal Copier, Color"/>
        <s v="Eaton Message Books, Recycled"/>
        <s v="Global Value Steno Chair, Gray"/>
        <s v="KitchenAid Toaster, White"/>
        <s v="Ames Peel and Seal, Set of 50"/>
        <s v="Canon Fax Machine, Color"/>
        <s v="BIC Pens, Fluorescent"/>
        <s v="Samsung Speaker Phone, VoIP"/>
        <s v="Fellowes Lockers, Blue"/>
        <s v="Hon Coffee Table, Fully Assembled"/>
        <s v="Jiffy Mailers, with clear poly window"/>
        <s v="Hewlett Copy Machine, Color"/>
        <s v="Stiletto Shears, High Speed"/>
        <s v="Acco Index Tab, Economy"/>
        <s v="Okidata Card Printer, White"/>
        <s v="GlobeWeis Mailers, Security-Tint"/>
        <s v="Fiskars Trimmer, Easy Grip"/>
        <s v="Sharp Wireless Fax, Digital"/>
        <s v="Logitech Router, USB"/>
        <s v="Sauder Corner Shelving, Traditional"/>
        <s v="KitchenAid Coffee Grinder, Red"/>
        <s v="Eaton Message Books, Premium"/>
        <s v="Prang Dustless Chalk Sticks"/>
        <s v="Konica Phone, Wireless"/>
        <s v="Fellowes Folders, Industrial"/>
        <s v="Samsung Audio Dock, Cordless"/>
        <s v="Hewlett Fax Machine, High-Speed"/>
        <s v="Wilson Jones Binder, Clear"/>
        <s v="Eureka Hand Vacuum, Bagless"/>
        <s v="KitchenAid Blender, White"/>
        <s v="Sanford Pens, Fluorescent"/>
        <s v="Sauder Floating Shelf Set, Pine"/>
        <s v="Eldon Trays, Wire Frame"/>
        <s v="Samsung Speaker Phone, with Caller ID"/>
        <s v="Stiletto Letter Opener, Steel"/>
        <s v="Advantus Frame, Black"/>
        <s v="Xerox 201"/>
        <s v="Avery 483"/>
        <s v="Apple Speaker Phone, VoIP"/>
        <s v="Sanford Pencil Sharpener, Easy-Erase"/>
        <s v="Newell 313"/>
        <s v="Advantus Clamps, Bulk Pack"/>
        <s v="Avery Binding Machine, Recycled"/>
        <s v="Nokia Audio Dock, VoIP"/>
        <s v="Office Star Bag Chairs, Set of Two"/>
        <s v="Brother Personal Copier, High-Speed"/>
        <s v="Advantus Push Pins, 12 Pack"/>
        <s v="Acco Binder, Clear"/>
        <s v="Stockwell Thumb Tacks, 12 Pack"/>
        <s v="StarTech Card Printer, Wireless"/>
        <s v="SanDisk Memory Card, Programmable"/>
        <s v="Staples"/>
        <s v="Ibico Binding Machine, Durable"/>
        <s v="Avery Hole Reinforcements, Economy"/>
        <s v="Rogers File Cart, Blue"/>
        <s v="Office Star Chairmat, Set of Two"/>
        <s v="Xerox Note Cards, Premium"/>
        <s v="Newell 34"/>
        <s v="Advantus Rolling Storage Box"/>
        <s v="Hon Bag Chairs, Black"/>
        <s v="Memorex Router, Bluetooth"/>
        <s v="Bevis 44 x 96 Conference Tables"/>
        <s v="Wilson Jones 3-Hole Punch, Clear"/>
        <s v="Memorex Numeric Keypad, Bluetooth"/>
        <s v="Samsung Speaker Phone, Full Size"/>
        <s v="Rogers Shelving, Wire Frame"/>
        <s v="Chromcraft Computer Table, Adjustable Height"/>
        <s v="Tenex Photo Frame, Duo Pack"/>
        <s v="Advantus Push Pins"/>
        <s v="Brother Personal Copier, Laser"/>
        <s v="Barricks Training Table, Rectangular"/>
        <s v="Adjustable Depth Letter/Legal Cart"/>
        <s v="Microsoft Natural Keyboard Elite"/>
        <s v="Rogers Trays, Industrial"/>
        <s v="Smead Folders, Single Width"/>
        <s v="Enermax Mouse, USB"/>
        <s v="Cardinal Binder, Economy"/>
        <s v="Novimex Shipping Labels, Laser Printer Compatible"/>
        <s v="Acme Elite Stainless Steel Scissors"/>
        <s v="SanDisk Mouse, Erganomic"/>
        <s v="Tenex Carpeted, Granite-Look or Clear Contemporary Contour Shape Chair Mats"/>
        <s v="SanDisk Router, Programmable"/>
        <s v="Jabra BIZ 2300 Duo QD Duo CordedÂ Headset"/>
        <s v="SanDisk Memo Slips, Premium"/>
        <s v="Smead Lockers, Industrial"/>
        <s v="Cuisinart Refrigerator, Red"/>
        <s v="Stanley Sketch Pad, Blue"/>
        <s v="Honeywell Enviracaire Portable HEPA Air Cleaner for 17' x 22' Room"/>
        <s v="Rubbermaid Photo Frame, Durable"/>
        <s v="Hoover Stove, Black"/>
        <s v="Deflect-O Stacking Tray, Black"/>
        <s v="Memorex Flash Drive, Erganomic"/>
        <s v="Rubbermaid Clock, Erganomic"/>
        <s v="Wilson Jones Binding Machine, Economy"/>
        <s v="Sharp Ink, Laser"/>
        <s v="SanDisk Router, Erganomic"/>
        <s v="Green Bar Parchment Paper, Multicolor"/>
        <s v="Sharp Fax Machine, Color"/>
        <s v="Kraft Mailers, Recycled"/>
        <s v="Enermax Numeric Keypad, Bluetooth"/>
        <s v="Green Bar Message Books, Premium"/>
        <s v="Novimex File Folder Labels, 5000 Label Set"/>
        <s v="GlobeWeis Interoffice Envelope, Set of 50"/>
        <s v="Accos Push Pins, Assorted Sizes"/>
        <s v="SAFCO Chairmat, Adjustable"/>
        <s v="Brother Ink, Color"/>
        <s v="Avery 496"/>
        <s v="Kensington SlimBlade Notebook Wireless Mouse with Nano Receiver "/>
        <s v="Acme Letter Opener, Easy Grip"/>
        <s v="Hon Wood Table, Rectangular"/>
        <s v="Avery Index Tab, Economy"/>
        <s v="SanDisk Mouse, Programmable"/>
        <s v="Fellowes File Cart, Wire Frame"/>
        <s v="Sanford Pencil Sharpener, Water Color"/>
        <s v="Logitech Router, Erganomic"/>
        <s v="Stanley Markers, Water Color"/>
        <s v="Kraft Business Envelopes, Security-Tint"/>
        <s v="Colored Envelopes"/>
        <s v="Dax Clear Box Frame"/>
        <s v="Cisco Speaker Phone, with Caller ID"/>
        <s v="Ibico Hole Reinforcements, Clear"/>
        <s v="Apple Speaker Phone, with Caller ID"/>
        <s v="Smead Folders, Industrial"/>
        <s v="Accos Push Pins, 12 Pack"/>
        <s v="Tenex Folders, Industrial"/>
        <s v="SanDisk Numeric Keypad, Bluetooth"/>
        <s v="Harbour Creations Color Coded Labels, Alphabetical"/>
        <s v="Acco 3-Hole Punch, Clear"/>
        <s v="BIC Pens, Easy-Erase"/>
        <s v="Cardinal Index Tab, Durable"/>
        <s v="Euro-Pro Shark Turbo Vacuum"/>
        <s v="Kleencut Scissors, Serrated"/>
        <s v="Novimex Rocking Chair, Red"/>
        <s v="Acco Index Tab, Clear"/>
        <s v="Cardinal Binder Covers, Recycled"/>
        <s v="Samsung Office Telephone, VoIP"/>
        <s v="StarTech Calculator, Durable"/>
        <s v="Motorola Smart Phone, with Caller ID"/>
        <s v="Elite Shears, Steel"/>
        <s v="Logitech G700s Rechargeable Gaming Mouse"/>
        <s v="Avery 3-Hole Punch, Durable"/>
        <s v="Fellowes Trays, Wire Frame"/>
        <s v="Binney &amp; Smith Pens, Fluorescent"/>
        <s v="Hewlett Wireless Fax, Digital"/>
        <s v="Westinghouse Clip-On Gooseneck Lamps"/>
        <s v="Acco Binder, Economy"/>
        <s v="GBC VeloBinder Strips"/>
        <s v="Hoover Toaster, White"/>
        <s v="i.Sound Portable Power - 8000 mAh"/>
        <s v="Jiffy Business Envelopes, Set of 50"/>
        <s v="GlobeWeis Interoffice Envelope, Recycled"/>
        <s v="GBC VeloBinder Manual Binding System"/>
        <s v="Konica Receipt Printer, Wireless"/>
        <s v="Acme Letter Opener, Steel"/>
        <s v="Okidata Phone, Red"/>
        <s v="Cardinal Index Tab, Economy"/>
        <s v="ImationÂ SwivelÂ Flash DriveÂ USBÂ flash driveÂ - 8 GB"/>
        <s v="Stockwell Thumb Tacks, Bulk Pack"/>
        <s v="BIC Canvas, Blue"/>
        <s v="Okidata Calculator, Red"/>
        <s v="Wilson Jones Binder Covers, Recycled"/>
        <s v="Boston Pens, Fluorescent"/>
        <s v="Green Bar Parchment Paper, Premium"/>
        <s v="Tenex Personal Self-Stacking Standard File Box, Black/Gray"/>
        <s v="Rogers File Cart, Single Width"/>
        <s v="Eldon Clock, Erganomic"/>
        <s v="Binney &amp; Smith Markers, Fluorescent"/>
        <s v="Sharp Wireless Fax, Laser"/>
        <s v="Global Airflow Leather Mesh Back Chair, Black"/>
        <s v="Acco Binder Covers, Recycled"/>
        <s v="Cardinal Index Tab, Clear"/>
        <s v="Panasonic Calculator, White"/>
        <s v="Xerox 188"/>
        <s v="Ikea Classic Bookcase, Metal"/>
        <s v="Stockwell Clamps, Assorted Sizes"/>
        <s v="Brother Ink, Laser"/>
        <s v="Cuisinart Stove, Silver"/>
        <s v="Accos Clamps, Assorted Sizes"/>
        <s v="Motorola Smart Phone, Full Size"/>
        <s v="Wireless Extenders zBoost YX545 SOHO Signal Booster"/>
        <s v="Bretford Rectangular Conference Table Tops"/>
        <s v="Eldon Light Bulb, Erganomic"/>
        <s v="Ibico Binder Covers, Clear"/>
        <s v="Ames Mailers, with clear poly window"/>
        <s v="Fiskars Box Cutter, High Speed"/>
        <s v="GBC ProClick 150 Presentation Binding System"/>
        <s v="Ames Peel and Seal, Recycled"/>
        <s v="Panasonic Receipt Printer, Wireless"/>
        <s v="Angle-D Binders with Locking Rings, Label Holders"/>
        <s v="Harbour Creations File Folder Labels, Laser Printer Compatible"/>
        <s v="Lesro Conference Table, Fully Assembled"/>
        <s v="Cardinal 3-Hole Punch, Recycled"/>
        <s v="Wilson Jones Binder, Durable"/>
        <s v="Tenex Folders, Blue"/>
        <s v="Grandstream GXP2100 Mainstream Business Phone"/>
        <s v="Hamilton Beach Stove, Silver"/>
        <s v="Konftel 250 ConferenceÂ phoneÂ - Charcoal black"/>
        <s v="Holmes Replacement Filter for HEPA Air Cleaner, Very Large Room, HEPA Filter"/>
        <s v="Xerox 206"/>
        <s v="Nokia Speaker Phone, Cordless"/>
        <s v="Deflect-O Door Stop, Duo Pack"/>
        <s v="Dania Floating Shelf Set, Traditional"/>
        <s v="Accos Paper Clips, Assorted Sizes"/>
        <s v="Tenex Folders, Single Width"/>
        <s v="Eldon Clock, Black"/>
        <s v="Breville Refrigerator, White"/>
        <s v="Xerox 210"/>
        <s v="Eldon File Cart, Single Width"/>
        <s v="Cardinal Binder, Clear"/>
        <s v="Xerox 1998"/>
        <s v="Fiskars Scissors, Serrated"/>
        <s v="Dania Corner Shelving, Pine"/>
        <s v="Hon Legal Exhibit Labels, Laser Printer Compatible"/>
        <s v="Cameo Mailers, Recycled"/>
        <s v="Eldon Light Bulb, Black"/>
        <s v="Hewlett-Packard Deskjet 5550 Printer"/>
        <s v="Fellowes Trays, Single Width"/>
        <s v="Kleencut Ruler, Easy Grip"/>
        <s v="Green Bar Message Books, Multicolor"/>
        <s v="SAFCO Executive Leather Armchair, Adjustable"/>
        <s v="Stockwell Rubber Bands, Metal"/>
        <s v="Sauder Floating Shelf Set, Metal"/>
        <s v="Sanford Pens, Easy-Erase"/>
        <s v="Ibico Binding Machine, Recycled"/>
        <s v="Sauder Library with Doors, Mobile"/>
        <s v="Konica Receipt Printer, Durable"/>
        <s v="Panasonic Receipt Printer, Red"/>
        <s v="Sharp Fax and Copier, Laser"/>
        <s v="Eaton Memo Slips, 8.5 x 11"/>
        <s v="Acco Hole Reinforcements, Durable"/>
        <s v="Smead Legal Exhibit Labels, Adjustable"/>
        <s v="Cameo Business Envelopes, Recycled"/>
        <s v="OIC Rubber Bands, Metal"/>
        <s v="Cameo Peel and Seal, Security-Tint"/>
        <s v="Avery Color Coded Labels, Laser Printer Compatible"/>
        <s v="Motorola Signal Booster, with Caller ID"/>
        <s v="Smead Round Labels, Laser Printer Compatible"/>
        <s v="Brother Wireless Fax, High-Speed"/>
        <s v="Hewlett Ink, High-Speed"/>
        <s v="Memorex Mouse, Bluetooth"/>
        <s v="Ikea Classic Bookcase, Mobile"/>
        <s v="Smead File Folder Labels, 5000 Label Set"/>
        <s v="Xerox 209"/>
        <s v="Motorola Headset, VoIP"/>
        <s v="Avery File Folder Labels, 5000 Label Set"/>
        <s v="Belkin Numeric Keypad, Bluetooth"/>
        <s v="Hon Wood Table, with Bottom Storage"/>
        <s v="Plantronics Voyager Pro HD - Bluetooth Headset"/>
        <s v="Kleencut Letter Opener, Easy Grip"/>
        <s v="Belkin Keyboard, Erganomic"/>
        <s v="Bush Heritage Pine Collection 5-Shelf Bookcase, Albany Pine Finish, *Special Order"/>
        <s v="Fellowes Box, Single Width"/>
        <s v="Harbour Creations Legal Exhibit Labels, 5000 Label Set"/>
        <s v="Ikea Stackable Bookrack, Mobile"/>
        <s v="Wilson Jones Binder Covers, Clear"/>
        <s v="Bevis Computer Table, Adjustable Height"/>
        <s v="Brother Copy Machine, Color"/>
        <s v="Deflect-o EconoMat Studded, No Bevel Mat for Low Pile Carpeting"/>
        <s v="Tenex Photo Frame, Black"/>
        <s v="Sanford Highlighters, Blue"/>
        <s v="Brother Copy Machine, Laser"/>
        <s v="Eldon Box, Industrial"/>
        <s v="HP Personal Copier, Color"/>
        <s v="Motorola HK250 Universal Bluetooth Headset"/>
        <s v="Ames Manila Envelope, with clear poly window"/>
        <s v="Smead Trays, Single Width"/>
        <s v="Hon Shipping Labels, Laser Printer Compatible"/>
        <s v="Ibico 3-Hole Punch, Clear"/>
        <s v="Enermax Cards &amp; Envelopes, Recycled"/>
        <s v="Hoover Toaster, Black"/>
        <s v="Enermax Memo Slips, 8.5 x 11"/>
        <s v="Xerox 1891"/>
        <s v="Novimex Rocking Chair, Adjustable"/>
        <s v="Smead Color Coded Labels, Alphabetical"/>
        <s v="Tenex Photo Frame, Durable"/>
        <s v="Avery 3-Hole Punch, Recycled"/>
        <s v="Cisco Signal Booster, VoIP"/>
        <s v="Nokia Audio Dock, Cordless"/>
        <s v="Smead Round Labels, Adjustable"/>
        <s v="Okidata Inkjet, Durable"/>
        <s v="Wilson Jones Binder Covers, Economy"/>
        <s v="Hon Round Labels, Laser Printer Compatible"/>
        <s v="Hon Legal Exhibit Labels, Alphabetical"/>
        <s v="Hanging Personal Folder File"/>
        <s v="Fellowes Bankers Box Stor/Drawer Steel Plus"/>
        <s v="DIXON Oriole Pencils"/>
        <s v="Mitel MiVoice 5330e IP Phone"/>
        <s v="Eaton Computer Printout Paper, Premium"/>
        <s v="Elite Letter Opener, High Speed"/>
        <s v="Hoover Refrigerator, Silver"/>
        <s v="OIC Paper Clips, 12 Pack"/>
        <s v="Sauder Classic Bookcase, Traditional"/>
        <s v="Harbour Creations Round Labels, 5000 Label Set"/>
        <s v="Stockwell Staples, Assorted Sizes"/>
        <s v="Eldon Lockers, Industrial"/>
        <s v="Eldon Lockers, Blue"/>
        <s v="BIC Sketch Pad, Blue"/>
        <s v="Adjustable Personal File Tote"/>
        <s v="Belkin Router, Erganomic"/>
        <s v="Harbour Creations Executive Leather Armchair, Black"/>
        <s v="Stanley Highlighters, Blue"/>
        <s v="Tenex Clock, Durable"/>
        <s v="Kleencut Trimmer, Serrated"/>
        <s v="Eldon Shelving, Blue"/>
        <s v="Okidata Card Printer, Durable"/>
        <s v="Mitel 5320 IP Phone VoIP phone"/>
        <s v="Wausau Papers Astrobrights Colored Envelopes"/>
        <s v="Ibico Plastic Spiral Binding Combs"/>
        <s v="Prismacolor Color Pencil Set"/>
        <s v="Fellowes Box, Wire Frame"/>
        <s v="Harbour Creations File Folder Labels, 5000 Label Set"/>
        <s v="Nokia Audio Dock, with Caller ID"/>
        <s v="HP Copy Machine, Color"/>
        <s v="Xerox 1978"/>
        <s v="SanDisk Parchment Paper, Multicolor"/>
        <s v="Logitech Flash Drive, Bluetooth"/>
        <s v="Tenex Stacking Tray, Erganomic"/>
        <s v="Xerox Cards &amp; Envelopes, Premium"/>
        <s v="Novimex Executive Leather Armchair, Adjustable"/>
        <s v="KitchenAid Coffee Grinder, Silver"/>
        <s v="Stiletto Trimmer, Steel"/>
        <s v="Cisco Smart Phone, Cordless"/>
        <s v="Universal Premium White Copier/Laser Paper (20Lb. and 87 Bright)"/>
        <s v="Harbour Creations Rocking Chair, Adjustable"/>
        <s v="Wilson Jones 1&quot; Hanging DublLock Ring Binders"/>
        <s v="Elite Shears, Easy Grip"/>
        <s v="OIC Thumb Tacks, Bulk Pack"/>
        <s v="Green Bar Cards &amp; Envelopes, Recycled"/>
        <s v="Cuisinart Microwave, Black"/>
        <s v="Office Star Executive Leather Armchair, Adjustable"/>
        <s v="Tenex Light Bulb, Duo Pack"/>
        <s v="Advantus Clamps, Metal"/>
        <s v="Xerox 189"/>
        <s v="Deflect-O Light Bulb, Durable"/>
        <s v="Harbour Creations Removable Labels, Laser Printer Compatible"/>
        <s v="Aluminum Screw Posts"/>
        <s v="12-1/2 Diameter Round Wall Clock"/>
        <s v="Epson Card Printer, White"/>
        <s v="Canon Personal Copier, Digital"/>
        <s v="GlobeWeis Mailers, Set of 50"/>
        <s v="Avery Index Tab, Clear"/>
        <s v="Advantus Clock, Duo Pack"/>
        <s v="Acme Box Cutter, High Speed"/>
        <s v="Rubbermaid Light Bulb, Duo Pack"/>
        <s v="Eldon Light Bulb, Duo Pack"/>
        <s v="Xerox Cards &amp; Envelopes, Recycled"/>
        <s v="Novimex Color Coded Labels, Laser Printer Compatible"/>
        <s v="Xerox 1960"/>
        <s v="OIC Thumb Tacks, Metal"/>
        <s v="Samsung Headset, VoIP"/>
        <s v="Epson Printer, White"/>
        <s v="Eldon Base for stackable storage shelf, platinum"/>
        <s v="OIC Staples, Bulk Pack"/>
        <s v="GBC Recycled Regency Composition Covers"/>
        <s v="GlobeWeis Peel and Seal, Security-Tint"/>
        <s v="Smead Trays, Wire Frame"/>
        <s v="Ibico Binder, Recycled"/>
        <s v="OIC Rubber Bands, 12 Pack"/>
        <s v="Harbour Creations Removable Labels, Adjustable"/>
        <s v="Wilson Jones Hole Reinforcements, Economy"/>
        <s v="Stiletto Trimmer, High Speed"/>
        <s v="GlobeWeis Business Envelopes, Recycled"/>
        <s v="Office Star Steel Folding Chair, Red"/>
        <s v="Sanford Highlighters, Easy-Erase"/>
        <s v="HP Personal Copier, Laser"/>
        <s v="Safco Classic Bookcase, Traditional"/>
        <s v="Apple Office Telephone, Full Size"/>
        <s v="BIC Highlighters, Blue"/>
        <s v="ImationÂ 30456 USBÂ Flash DriveÂ 8GB"/>
        <s v="Eldon Lockers, Single Width"/>
        <s v="Okidata Receipt Printer, Durable"/>
        <s v="Ibico Hole Reinforcements, Recycled"/>
        <s v="Harbour Creations Swivel Stool, Adjustable"/>
        <s v="Eldon Folders, Wire Frame"/>
        <s v="Canon Personal Copier, High-Speed"/>
        <s v="Ames Business Envelopes, Recycled"/>
        <s v="Fellowes PB500 Electric Punch Plastic Comb Binding Machine with Manual Bind"/>
        <s v="Novimex Color Coded Labels, Adjustable"/>
        <s v="Holmes Cool Mist Humidifier for the Whole House with 8-Gallon Output per Day, Extended Life Filter"/>
        <s v="Avery 503"/>
        <s v="Hoover Stove, White"/>
        <s v="Tenex Door Stop, Black"/>
        <s v="Smead Round Labels, Alphabetical"/>
        <s v="Hamilton Beach Microwave, Black"/>
        <s v="Bevis 36 x 72 Conference Tables"/>
        <s v="Kraft Clasp Envelope, Set of 50"/>
        <s v="Harbour Creations 67200 Series Stacking Chairs"/>
        <s v="Padded Folding Chairs, Black, 4/Carton"/>
        <s v="Deflect-O Photo Frame, Durable"/>
        <s v="Hon File Folder Labels, Alphabetical"/>
        <s v="Tenex File Cart, Single Width"/>
        <s v="Rogers Shelving, Single Width"/>
        <s v="Hon Executive Leather Armchair, Black"/>
        <s v="Nokia Headset, VoIP"/>
        <s v="GBC Velobind Prepunched Cover Sets, Regency Series"/>
        <s v="Ikea Stackable Bookrack, Pine"/>
        <s v="Epson Phone, Red"/>
        <s v="Novimex Bag Chairs, Black"/>
        <s v="Enermax Flash Drive, Erganomic"/>
        <s v="Belkin Memory Card, Bluetooth"/>
        <s v="Hon Shipping Labels, 5000 Label Set"/>
        <s v="Enermax Memory Card, USB"/>
        <s v="Fellowes Trays, Blue"/>
        <s v="Eaton Parchment Paper, 8.5 x 11"/>
        <s v="Trimflex Flexible Post Binders"/>
        <s v="Accos Rubber Bands, Bulk Pack"/>
        <s v="Acme Box Cutter, Serrated"/>
        <s v="Breville Coffee Grinder, Red"/>
        <s v="Jiffy Business Envelopes, Recycled"/>
        <s v="Avery Removable Labels, Laser Printer Compatible"/>
        <s v="Microsoft Sculpt Comfort Mouse"/>
        <s v="Xerox 212"/>
        <s v="Safco Stackable Bookrack, Traditional"/>
        <s v="Stanley Pencil Sharpener, Water Color"/>
        <s v="Binney &amp; Smith Sketch Pad, Blue"/>
        <s v="Hamilton Beach Refrigerator, White"/>
        <s v="Elite Scissors, Easy Grip"/>
        <s v="Safco 3-Shelf Cabinet, Metal"/>
        <s v="Motorola Speaker Phone, with Caller ID"/>
        <s v="Logitech Flash Drive, Erganomic"/>
        <s v="Boston Sketch Pad, Blue"/>
        <s v="HON 5400 Series Task Chairs for Big and Tall"/>
        <s v="Brother Wireless Fax, Color"/>
        <s v="SanDisk Computer Printout Paper, 8.5 x 11"/>
        <s v="Office Star Rocking Chair, Adjustable"/>
        <s v="Ibico Binder, Durable"/>
        <s v="Acme Shears, Easy Grip"/>
        <s v="Smead Lockers, Single Width"/>
        <s v="SanDisk Numeric Keypad, USB"/>
        <s v="Adams Telephone Message Book W/Dividers/Space For Phone Numbers, 5 1/4&quot;X8 1/2&quot;, 200/Messages"/>
        <s v="Sauder 3-Shelf Cabinet, Pine"/>
        <s v="KitchenAid Stove, Silver"/>
        <s v="Stockwell Push Pins, Metal"/>
        <s v="SanDisk Message Books, Premium"/>
        <s v="Acme Box Cutter, Easy Grip"/>
        <s v="Logitech Keyboard, USB"/>
        <s v="Binney &amp; Smith Sketch Pad, Fluorescent"/>
        <s v="Smead Removable Labels, Adjustable"/>
        <s v="Bevis Steel Folding Chairs"/>
        <s v="Smead Round Labels, 5000 Label Set"/>
        <s v="Hewlett Ink, Laser"/>
        <s v="Cisco Headset, Cordless"/>
        <s v="Stiletto Scissors, Steel"/>
        <s v="Dania Corner Shelving, Metal"/>
        <s v="Razer Kraken PRO Over Ear PC and Music Headset"/>
        <s v="Self-Adhesive Removable Labels"/>
        <s v="Novimex Steel Folding Chair, Set of Two"/>
        <s v="BIC Highlighters, Water Color"/>
        <s v="Hewlett Fax Machine, Laser"/>
        <s v="Harbour Creations Chairmat, Set of Two"/>
        <s v="Acme Stainless Steel Office Snips"/>
        <s v="Ikea Stackable Bookrack, Metal"/>
        <s v="Safco Drafting Table"/>
        <s v="Fiskars Shears, High Speed"/>
        <s v="Xerox 1981"/>
        <s v="Okidata Receipt Printer, White"/>
        <s v="Enermax Memory Card, Erganomic"/>
        <s v="BIC Pencil Sharpener, Water Color"/>
        <s v="Wilson Jones Heavy-Duty Casebound Ring Binders with Metal Hinges"/>
        <s v="Acco 3-Hole Punch, Durable"/>
        <s v="Decoflex Hanging Personal Folder File"/>
        <s v="Cardinal Binder, Recycled"/>
        <s v="Xerox Note Cards, Multicolor"/>
        <s v="Boston Sketch Pad, Fluorescent"/>
        <s v="Avery Recycled Flexi-View Covers for Binding Systems"/>
        <s v="Eldon Photo Frame, Durable"/>
        <s v="Rubbermaid Frame, Erganomic"/>
        <s v="Enermax Note Cards, Premium"/>
        <s v="Hon Executive Leather Armchair, Adjustable"/>
        <s v="Stanley Canvas, Easy-Erase"/>
        <s v="Sharp Wireless Fax, High-Speed"/>
        <s v="Samsung Headset, Full Size"/>
        <s v="Logitech Router, Programmable"/>
        <s v="Cameo Clasp Envelope, Security-Tint"/>
        <s v="Hon Steel Folding Chair, Red"/>
        <s v="BIC Sketch Pad, Easy-Erase"/>
        <s v="Lesro Wood Table, Adjustable Height"/>
        <s v="Samsung Galaxy Mega 6.3"/>
        <s v="Wilson Jones Binding Machine, Recycled"/>
        <s v="SanDisk Router, USB"/>
        <s v="Bevis Training Table, Adjustable Height"/>
        <s v="Ames Mailers, Recycled"/>
        <s v="OIC Clamps, Metal"/>
        <s v="Wilson Jones 3-Hole Punch, Durable"/>
        <s v="Hon Computer Table, with Bottom Storage"/>
        <s v="Xerox 202"/>
        <s v="Deflect-O Frame, Durable"/>
        <s v="Rogers Shelving, Blue"/>
        <s v="Harbour Creations Color Coded Labels, Adjustable"/>
        <s v="Hoover Shoulder Vac Commercial Portable Vacuum"/>
        <s v="Aastra 57i VoIP phone"/>
        <s v="Avery 515"/>
        <s v="Rubbermaid Clock, Duo Pack"/>
        <s v="Avery 49"/>
        <s v="Acco Binder Covers, Durable"/>
        <s v="Office Star Swivel Stool, Adjustable"/>
        <s v="HP Fax Machine, Laser"/>
        <s v="Great White Multi-Use Recycled Paper (20Lb. and 84 Bright)"/>
        <s v="Elite Shears, Serrated"/>
        <s v="Hamilton Beach Toaster, Black"/>
        <s v="Wilson Jones 3-Hole Punch, Recycled"/>
        <s v="Enermax Numeric Keypad, Erganomic"/>
        <s v="Memorex Numeric Keypad, USB"/>
        <s v="Acme Scissors, Easy Grip"/>
        <s v="GBC ProClick Punch Binding System"/>
        <s v="Xerox 1979"/>
        <s v="Xerox 4200 Series MultiUse Premium Copy Paper (20Lb. and 84 Bright)"/>
        <s v="Bush 3-Shelf Cabinet, Pine"/>
        <s v="Tenex Trays, Single Width"/>
        <s v="Rubbermaid Stacking Tray, Black"/>
        <s v="C-Line Magnetic Cubicle Keepers, Clear Polypropylene"/>
        <s v="Plantronics Audio 478 Stereo USB Headset"/>
        <s v="Ikea Corner Shelving, Pine"/>
        <s v="Novimex Round Labels, Laser Printer Compatible"/>
        <s v="SAFCO Bag Chairs, Black"/>
        <s v="Regeneration Desk Collection"/>
        <s v="Safco Floating Shelf Set, Mobile"/>
        <s v="Bush Library with Doors, Traditional"/>
        <s v="Brother Fax Machine, Laser"/>
        <s v="Stiletto Box Cutter, Easy Grip"/>
        <s v="Cuisinart Stove, Red"/>
        <s v="Kraft Peel and Seal, with clear poly window"/>
        <s v="SAFCO Mobile Desk Side File, Wire Frame"/>
        <s v="Avery Shipping Labels, Laser Printer Compatible"/>
        <s v="Sanford Sketch Pad, Easy-Erase"/>
        <s v="Cisco Office Telephone, with Caller ID"/>
        <s v="Belkin Keyboard, Bluetooth"/>
        <s v="Elite Box Cutter, High Speed"/>
        <s v="Maxell 74 Minute CD-R Spindle, 50/Pack"/>
        <s v="Avery File Folder Labels, Adjustable"/>
        <s v="Wilson Jones Binder, Recycled"/>
        <s v="Carina Double Wide Media Storage Towers in Natural &amp; Black"/>
        <s v="SAFCO Chairmat, Red"/>
        <s v="Stanley Sketch Pad, Fluorescent"/>
        <s v="Dania Stackable Bookrack, Traditional"/>
        <s v="Cardinal 3-Hole Punch, Durable"/>
        <s v="Hoover Blender, Black"/>
        <s v="Stiletto Letter Opener, Easy Grip"/>
        <s v="TOPS &quot;Important Message&quot; Pads, Canary, 4-1/4 x 5-1/2, 50 Sheets per Pad"/>
        <s v="Kraft Clasp Envelope, with clear poly window"/>
        <s v="Okidata Card Printer, Red"/>
        <s v="Smead File Folder Labels, Alphabetical"/>
        <s v="Breville Blender, White"/>
        <s v="Belkin Router, USB"/>
        <s v="Panasonic Inkjet, Durable"/>
        <s v="Deflect-O Clock, Black"/>
        <s v="Bush Classic Bookcase, Metal"/>
        <s v="Epson Card Printer, Red"/>
        <s v="SanDisk Note Cards, 8.5 x 11"/>
        <s v="Logitech Keyboard, Erganomic"/>
        <s v="Ames Manila Envelope, Set of 50"/>
        <s v="Eldon File Cart, Blue"/>
        <s v="Cardinal Hole Reinforcements, Recycled"/>
        <s v="Harbour Creations Shipping Labels, 5000 Label Set"/>
        <s v="Samsung Smart Phone, Cordless"/>
        <s v="Fiskars Box Cutter, Serrated"/>
        <s v="Rogers File Cart, Industrial"/>
        <s v="Bush Stackable Bookrack, Pine"/>
        <s v="Avery Address/Shipping Labels for Typewriters, 4&quot; x 2&quot;"/>
        <s v="Stanley Canvas, Fluorescent"/>
        <s v="Jiffy Clasp Envelope, with clear poly window"/>
        <s v="Stockwell Push Pins, Assorted Sizes"/>
        <s v="Apple Office Telephone, VoIP"/>
        <s v="OIC Staples, Metal"/>
        <s v="Avery Shipping Labels, 5000 Label Set"/>
        <s v="Fellowes Box, Industrial"/>
        <s v="GlobeWeis Clasp Envelope, Security-Tint"/>
        <s v="Cardinal Binding Machine, Durable"/>
        <s v="Avery Index Tab, Durable"/>
        <s v="StarTech Calculator, Wireless"/>
        <s v="Hoover Upright Vacuum With Dirt Cup"/>
        <s v="Ikea 3-Shelf Cabinet, Metal"/>
        <s v="Rogers Box, Single Width"/>
        <s v="Eaton Premium Continuous-Feed Paper, 25% Cotton, Letter Size, White, 1000 Shts/Box"/>
        <s v="Binney &amp; Smith Highlighters, Water Color"/>
        <s v="Hamilton Beach Refrigerator, Silver"/>
        <s v="Breville Stove, Red"/>
        <s v="Brother Wireless Fax, Digital"/>
        <s v="Avery Metallic Poly Binders"/>
        <s v="Cisco Speaker Phone, Full Size"/>
        <s v="Hamilton Beach Refrigerator, Black"/>
        <s v="Avery Heavy-Duty EZD  Binder With Locking Rings"/>
        <s v="Hon Every-Day Series Multi-Task Chairs"/>
        <s v="Novimex Round Labels, Adjustable"/>
        <s v="Newell 345"/>
        <s v="Accos Push Pins, Metal"/>
        <s v="Xerox 1954"/>
        <s v="Acco Binding Machine, Recycled"/>
        <s v="Xerox Cards &amp; Envelopes, 8.5 x 11"/>
        <s v="Safco Classic Bookcase, Mobile"/>
        <s v="Rogers Box, Wire Frame"/>
        <s v="Apple Audio Dock, VoIP"/>
        <s v="Rubbermaid Light Bulb, Durable"/>
        <s v="Novimex Executive Leather Armchair, Red"/>
        <s v="Smead File Folder Labels, Adjustable"/>
        <s v="Deluxe Rollaway Locking File with Drawer"/>
        <s v="Avery 511"/>
        <s v="Smead File Cart, Blue"/>
        <s v="GlobeWeis Interoffice Envelope, with clear poly window"/>
        <s v="Accos Thumb Tacks, Assorted Sizes"/>
        <s v="Acco Suede Grain Vinyl Round Ring Binder"/>
        <s v="Apple Speaker Phone, Full Size"/>
        <s v="OIC Paper Clips, Assorted Sizes"/>
        <s v="Ibico Binder Covers, Economy"/>
        <s v="Avery Printable Repositionable Plastic Tabs"/>
        <s v="Canon Fax and Copier, High-Speed"/>
        <s v="StarTech Printer, Red"/>
        <s v="Apple Signal Booster, Cordless"/>
        <s v="Samsung Office Telephone, Full Size"/>
        <s v="Green Bar Memo Slips, Multicolor"/>
        <s v="XtraLife ClearVue Slant-D Ring Binder, White, 3&quot;"/>
        <s v="Cisco CP-7937G Unified IP Conference Station Phone"/>
        <s v="Samsung Office Telephone, with Caller ID"/>
        <s v="SanDisk Router, Bluetooth"/>
        <s v="Advantus Frame, Durable"/>
        <s v="Recycled Desk Saver Line &quot;While You Were Out&quot; Book, 5 1/2&quot; X 4&quot;"/>
        <s v="Tenex Frame, Duo Pack"/>
        <s v="Standard Rollaway File with Lock"/>
        <s v="Xerox 231"/>
        <s v="Peel &amp; Seel Envelopes"/>
        <s v="Wilson Jones Hole Reinforcements, Clear"/>
        <s v="Advantus Thumb Tacks, Metal"/>
        <s v="Binney &amp; Smith Canvas, Easy-Erase"/>
        <s v="Cardinal Binding Machine, Recycled"/>
        <s v="Wilson Jones Index Tab, Durable"/>
        <s v="Ikea Floating Shelf Set, Mobile"/>
        <s v="Executive Impressions 13&quot; Clairmont Wall Clock"/>
        <s v="BIC Markers, Easy-Erase"/>
        <s v="SanDisk Message Books, Multicolor"/>
        <s v="StarTech Card Printer, White"/>
        <s v="Fellowes Lockers, Wire Frame"/>
        <s v="Avery Premier Heavy-Duty Binder with Round Locking Rings"/>
        <s v="Ames Manila Envelope, Recycled"/>
        <s v="Logitech Flash Drive, Programmable"/>
        <s v="Case Logic 2.4GHz Wireless Keyboard"/>
        <s v="Letter Size Cart"/>
        <s v="Acco 3-Hole Punch, Economy"/>
        <s v="I Need's 3d Hello Kitty Hybrid Silicone Case Cover for HTC One X 4g with 3d Hello Kitty Stylus Pen Green/pink"/>
        <s v="Xerox 1931"/>
        <s v="BIC Brite Liner Highlighters"/>
        <s v="Dana Fluorescent Magnifying Lamp, White, 36&quot;"/>
        <s v="Office Star Executive Leather Armchair, Black"/>
        <s v="Panasonic KP-150 Electric Pencil Sharpener"/>
        <s v="Tenex Clock, Black"/>
        <s v="Xerox Parchment Paper, Recycled"/>
        <s v="Fellowes Recycled Storage Drawers"/>
        <s v="Enermax Memo Slips, Multicolor"/>
        <s v="Novimex Removable Labels, Laser Printer Compatible"/>
        <s v="Hon Pagoda Stacking Chairs"/>
        <s v="Office Star Bag Chairs, Black"/>
        <s v="Stanley Canvas, Blue"/>
        <s v="Acco Hole Reinforcements, Clear"/>
        <s v="Panasonic Card Printer, Wireless"/>
        <s v="BIC Pens, Water Color"/>
        <s v="Tenex Box, Blue"/>
        <s v="Belkin Memory Card, USB"/>
        <s v="Stockwell Paper Clips, Metal"/>
        <s v="V7 USB Numeric Keypad"/>
        <s v="Tennsco Snap-Together Open Shelving Units, Starter Sets and Add-On Units"/>
        <s v="Advantus Light Bulb, Erganomic"/>
        <s v="Binney &amp; Smith Pencil Sharpener, Fluorescent"/>
        <s v="Stockwell Clamps, 12 Pack"/>
        <s v="Advantus Stacking Tray, Erganomic"/>
        <s v="SAFCO Bag Chairs, Adjustable"/>
        <s v="Coloredge Poster Frame"/>
        <s v="Boston Markers, Blue"/>
        <s v="Kraft Manila Envelope, Recycled"/>
        <s v="Bush Stackable Bookrack, Traditional"/>
        <s v="HP Ink, Laser"/>
        <s v="Office Star Swivel Stool, Black"/>
        <s v="Avery File Folder Labels, Alphabetical"/>
        <s v="Kleencut Trimmer, Easy Grip"/>
        <s v="Office Star Swivel Stool, Red"/>
        <s v="Eldon 100 Class Desk Accessories"/>
        <s v="Acco Binder Covers, Clear"/>
        <s v="Panasonic Inkjet, Red"/>
        <s v="PayAnywhere Card Reader"/>
        <s v="Hon Removable Labels, 5000 Label Set"/>
        <s v="Cardinal Hole Reinforcements, Clear"/>
        <s v="Epson Inkjet, White"/>
        <s v="Hoover Toaster, Red"/>
        <s v="Advantus Paper Clips, Assorted Sizes"/>
        <s v="Advantus Thumb Tacks, Bulk Pack"/>
        <s v="Rogers Trays, Single Width"/>
        <s v="Boston Markers, Easy-Erase"/>
        <s v="Konica Calculator, Red"/>
        <s v="ImationÂ 16GB Mini TravelDrive USB 2.0Â Flash Drive"/>
        <s v="Fiskars Box Cutter, Easy Grip"/>
        <s v="Premium Transparent Presentation Covers by GBC"/>
        <s v="Apple Office Telephone, Cordless"/>
        <s v="Cisco Headset, with Caller ID"/>
        <s v="Enermax Computer Printout Paper, 8.5 x 11"/>
        <s v="Ames Clasp Envelope, Recycled"/>
        <s v="Avery Arch Ring Binders"/>
        <s v="Advantus Photo Frame, Erganomic"/>
        <s v="StarTech Inkjet, Wireless"/>
        <s v="Southworth 100% Cotton The Best Paper"/>
        <s v="SAFCO Steel Folding Chair, Red"/>
        <s v="Novimex Rocking Chair, Set of Two"/>
        <s v="Bevis Training Table, Fully Assembled"/>
        <s v="Peel &amp; Seel Recycled Catalog Envelopes, Brown"/>
        <s v="Tenex Photo Frame, Erganomic"/>
        <s v="Rogers Shelving, Industrial"/>
        <s v="Avery 4027 File Folder Labels for Dot Matrix Printers, 5000 Labels per Box, White"/>
        <s v="Novimex Swivel Stool, Red"/>
        <s v="SanDisk Memo Slips, 8.5 x 11"/>
        <s v="Bush Westfield Collection Bookcases, Medium Cherry Finish"/>
        <s v="Novimex Bag Chairs, Adjustable"/>
        <s v="Cuisinart Refrigerator, Black"/>
        <s v="DIXON Ticonderoga Erasable Checking Pencils"/>
        <s v="BIC Canvas, Easy-Erase"/>
        <s v="Ibico Covers for Plastic or Wire Binding Elements"/>
        <s v="Tenex Lockers, Single Width"/>
        <s v="Premium Writing Pencils, Soft, #2 by Central Association for the Blind"/>
        <s v="Belkin F9H710-06 7 Outlet SurgeMaster Surge Protector"/>
        <s v="Binney &amp; Smith Markers, Easy-Erase"/>
        <s v="BIC Markers, Water Color"/>
        <s v="Xerox Message Books, Recycled"/>
        <s v="Boston Highlighters, Water Color"/>
        <s v="Binney &amp; Smith Highlighters, Easy-Erase"/>
        <s v="Ibico Binder Covers, Recycled"/>
        <s v="Tennsco Industrial Shelving"/>
        <s v="Ideal Clamps"/>
        <s v="Green Bar Note Cards, 8.5 x 11"/>
        <s v="Eldon Advantage Chair Mats for Low to Medium Pile Carpets"/>
        <s v="BIC Canvas, Water Color"/>
        <s v="Advantus Stacking Tray, Black"/>
        <s v="Micro Innovations USB RF Wireless Keyboard with Mouse"/>
        <s v="OIC Clamps, 12 Pack"/>
        <s v="Enermax Mouse, Bluetooth"/>
        <s v="Konica Printer, White"/>
        <s v="Fellowes Neat Ideas Storage Cubes"/>
        <s v="Smead Folders, Blue"/>
        <s v="Convenience Packs of Business Envelopes"/>
        <s v="Boston Sketch Pad, Water Color"/>
        <s v="Barricks Round Table, Adjustable Height"/>
        <s v="Bush Cubix Collection Bookcases, Fully Assembled"/>
        <s v="Flexible Leather- Look Classic Collection Ring Binder"/>
        <s v="SanDisk Cards &amp; Envelopes, 8.5 x 11"/>
        <s v="Sanford Canvas, Easy-Erase"/>
        <s v="Boston Pencil Sharpener, Water Color"/>
        <s v="Stanley Pens, Blue"/>
        <s v="Memorex Flash Drive, Bluetooth"/>
        <s v="Bush Stackable Bookrack, Mobile"/>
        <s v="Hoover Coffee Grinder, Black"/>
        <s v="Eldon Shelving, Single Width"/>
        <s v="Jiffy Peel and Seal, Recycled"/>
        <s v="Elite Trimmer, Easy Grip"/>
        <s v="Epson Phone, White"/>
        <s v="HP Fax Machine, High-Speed"/>
        <s v="Konica Card Printer, Red"/>
        <s v="Eaton Memo Slips, Recycled"/>
        <s v="Master Big Foot Doorstop, Beige"/>
        <s v="Binney &amp; Smith Pens, Water Color"/>
        <s v="Advantus Photo Frame, Black"/>
        <s v="Cardinal Binder, Durable"/>
        <s v="Hon Round Labels, Adjustable"/>
        <s v="Wirebound Message Books, Two 4 1/4&quot; x 5&quot; Forms per Page"/>
        <s v="Ibico Index Tab, Clear"/>
        <s v="Motorola Audio Dock, Cordless"/>
        <s v="Binney &amp; Smith Pens, Blue"/>
        <s v="Safco Steel Mobile File Cart"/>
        <s v="Xerox 1903"/>
        <s v="Accos Rubber Bands, Metal"/>
        <s v="Stanley Highlighters, Easy-Erase"/>
        <s v="Enermax Memo Slips, Premium"/>
        <s v="Eaton Parchment Paper, Premium"/>
        <s v="Bush Floating Shelf Set, Pine"/>
      </sharedItems>
    </cacheField>
    <cacheField name="sales" numFmtId="164">
      <sharedItems containsSemiMixedTypes="0" containsString="0" containsNumber="1" containsInteger="1" minValue="1" maxValue="5729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 count="22">
        <n v="0.17"/>
        <n v="0"/>
        <n v="0.1"/>
        <n v="0.6"/>
        <n v="0.5"/>
        <n v="0.4"/>
        <n v="0.2"/>
        <n v="0.7"/>
        <n v="0.3"/>
        <n v="2E-3"/>
        <n v="7.0000000000000007E-2"/>
        <n v="0.40200000000000002"/>
        <n v="0.15"/>
        <n v="0.47"/>
        <n v="0.35"/>
        <n v="0.8"/>
        <n v="0.20200000000000001"/>
        <n v="0.27"/>
        <n v="0.45"/>
        <n v="0.25"/>
        <n v="0.37"/>
        <n v="0.65"/>
      </sharedItems>
      <fieldGroup base="16">
        <rangePr startNum="0" endNum="0.8" groupInterval="0.1"/>
        <groupItems count="10">
          <s v="&lt;0"/>
          <s v="0-0.1"/>
          <s v="0.1-0.2"/>
          <s v="0.2-0.3"/>
          <s v="0.3-0.4"/>
          <s v="0.4-0.5"/>
          <s v="0.5-0.6"/>
          <s v="0.6-0.7"/>
          <s v="0.7-0.8"/>
          <s v="&gt;0.8"/>
        </groupItems>
      </fieldGroup>
    </cacheField>
    <cacheField name="profit" numFmtId="164">
      <sharedItems containsSemiMixedTypes="0" containsString="0" containsNumber="1" minValue="-953.44200000000001" maxValue="1143.8910000000001"/>
    </cacheField>
    <cacheField name="shipping_cost" numFmtId="164">
      <sharedItems containsSemiMixedTypes="0" containsString="0" containsNumber="1" minValue="0.06" maxValue="759.47"/>
    </cacheField>
    <cacheField name="order_priority" numFmtId="0">
      <sharedItems/>
    </cacheField>
    <cacheField name="year" numFmtId="0">
      <sharedItems containsSemiMixedTypes="0" containsString="0" containsNumber="1" containsInteger="1" minValue="2011" maxValue="2014"/>
    </cacheField>
    <cacheField name="Months (order_date)" numFmtId="0" databaseField="0">
      <fieldGroup base="1">
        <rangePr groupBy="months" startDate="2011-01-03T00:00:00" endDate="2015-01-01T00:00:00"/>
        <groupItems count="14">
          <s v="&lt;03-01-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15"/>
        </groupItems>
      </fieldGroup>
    </cacheField>
    <cacheField name="Years (order_date)" numFmtId="0" databaseField="0">
      <fieldGroup base="1">
        <rangePr groupBy="years" startDate="2011-01-03T00:00:00" endDate="2015-01-01T00:00:00"/>
        <groupItems count="7">
          <s v="&lt;03-01-11"/>
          <s v="2011"/>
          <s v="2012"/>
          <s v="2013"/>
          <s v="2014"/>
          <s v="2015"/>
          <s v="&gt;01-01-15"/>
        </groupItems>
      </fieldGroup>
    </cacheField>
    <cacheField name="Months (ship_date)" numFmtId="0" databaseField="0">
      <fieldGroup base="2">
        <rangePr groupBy="months" startDate="2011-01-08T00:00:00" endDate="2015-01-06T00:00:00"/>
        <groupItems count="14">
          <s v="&lt;08-01-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15"/>
        </groupItems>
      </fieldGroup>
    </cacheField>
    <cacheField name="Quarters (ship_date)" numFmtId="0" databaseField="0">
      <fieldGroup base="2">
        <rangePr groupBy="quarters" startDate="2011-01-08T00:00:00" endDate="2015-01-06T00:00:00"/>
        <groupItems count="6">
          <s v="&lt;08-01-11"/>
          <s v="Qtr1"/>
          <s v="Qtr2"/>
          <s v="Qtr3"/>
          <s v="Qtr4"/>
          <s v="&gt;06-01-15"/>
        </groupItems>
      </fieldGroup>
    </cacheField>
    <cacheField name="Years (ship_date)" numFmtId="0" databaseField="0">
      <fieldGroup base="2">
        <rangePr groupBy="years" startDate="2011-01-08T00:00:00" endDate="2015-01-06T00:00:00"/>
        <groupItems count="7">
          <s v="&lt;08-01-11"/>
          <s v="2011"/>
          <s v="2012"/>
          <s v="2013"/>
          <s v="2014"/>
          <s v="2015"/>
          <s v="&gt;06-01-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ID-2014-23075"/>
    <x v="0"/>
    <x v="0"/>
    <s v="Standard Class"/>
    <x v="0"/>
    <x v="0"/>
    <s v="Jawa Barat"/>
    <s v="Indonesia"/>
    <s v="APAC"/>
    <x v="0"/>
    <s v="OFF-BI-10001400"/>
    <x v="0"/>
    <x v="0"/>
    <x v="0"/>
    <n v="96"/>
    <n v="4"/>
    <x v="0"/>
    <n v="-2.3039999999999998"/>
    <n v="8.34"/>
    <s v="Medium"/>
    <n v="2014"/>
  </r>
  <r>
    <s v="MX-2014-113236"/>
    <x v="1"/>
    <x v="1"/>
    <s v="Standard Class"/>
    <x v="1"/>
    <x v="1"/>
    <s v="SÃ£o Paulo"/>
    <s v="Brazil"/>
    <s v="LATAM"/>
    <x v="1"/>
    <s v="OFF-AP-10001548"/>
    <x v="0"/>
    <x v="1"/>
    <x v="1"/>
    <n v="113"/>
    <n v="2"/>
    <x v="1"/>
    <n v="51.72"/>
    <n v="1.42"/>
    <s v="Medium"/>
    <n v="2014"/>
  </r>
  <r>
    <s v="ES-2014-3909772"/>
    <x v="2"/>
    <x v="2"/>
    <s v="Second Class"/>
    <x v="2"/>
    <x v="0"/>
    <s v="Apulia"/>
    <s v="Italy"/>
    <s v="EU"/>
    <x v="1"/>
    <s v="OFF-BI-10002799"/>
    <x v="0"/>
    <x v="0"/>
    <x v="2"/>
    <n v="34"/>
    <n v="3"/>
    <x v="1"/>
    <n v="8.91"/>
    <n v="4.75"/>
    <s v="Medium"/>
    <n v="2014"/>
  </r>
  <r>
    <s v="IT-2011-2536577"/>
    <x v="3"/>
    <x v="3"/>
    <s v="Second Class"/>
    <x v="3"/>
    <x v="2"/>
    <s v="Languedoc-Roussillon"/>
    <s v="France"/>
    <s v="EU"/>
    <x v="2"/>
    <s v="FUR-FU-10002557"/>
    <x v="1"/>
    <x v="2"/>
    <x v="3"/>
    <n v="177"/>
    <n v="8"/>
    <x v="1"/>
    <n v="0"/>
    <n v="0.61"/>
    <s v="Medium"/>
    <n v="2011"/>
  </r>
  <r>
    <s v="ES-2014-2949307"/>
    <x v="1"/>
    <x v="4"/>
    <s v="Second Class"/>
    <x v="4"/>
    <x v="2"/>
    <s v="Ile-de-France"/>
    <s v="France"/>
    <s v="EU"/>
    <x v="2"/>
    <s v="OFF-ST-10004577"/>
    <x v="0"/>
    <x v="3"/>
    <x v="4"/>
    <n v="48"/>
    <n v="1"/>
    <x v="2"/>
    <n v="1.0469999999999999"/>
    <n v="8.9499999999999993"/>
    <s v="Critical"/>
    <n v="2014"/>
  </r>
  <r>
    <s v="IN-2014-14458"/>
    <x v="4"/>
    <x v="5"/>
    <s v="Standard Class"/>
    <x v="5"/>
    <x v="2"/>
    <s v="Odisha"/>
    <s v="India"/>
    <s v="APAC"/>
    <x v="3"/>
    <s v="OFF-LA-10002123"/>
    <x v="0"/>
    <x v="4"/>
    <x v="5"/>
    <n v="55"/>
    <n v="5"/>
    <x v="1"/>
    <n v="18.45"/>
    <n v="8.98"/>
    <s v="Low"/>
    <n v="2014"/>
  </r>
  <r>
    <s v="IN-2014-46777"/>
    <x v="5"/>
    <x v="6"/>
    <s v="Standard Class"/>
    <x v="6"/>
    <x v="2"/>
    <s v="Gujarat"/>
    <s v="India"/>
    <s v="APAC"/>
    <x v="3"/>
    <s v="OFF-LA-10000624"/>
    <x v="0"/>
    <x v="4"/>
    <x v="6"/>
    <n v="9"/>
    <n v="1"/>
    <x v="1"/>
    <n v="3.33"/>
    <n v="0.79"/>
    <s v="Medium"/>
    <n v="2014"/>
  </r>
  <r>
    <s v="TU-2014-6410"/>
    <x v="6"/>
    <x v="7"/>
    <s v="First Class"/>
    <x v="7"/>
    <x v="2"/>
    <s v="Istanbul"/>
    <s v="Turkey"/>
    <s v="EMEA"/>
    <x v="4"/>
    <s v="OFF-STA-10002719"/>
    <x v="0"/>
    <x v="5"/>
    <x v="7"/>
    <n v="10"/>
    <n v="1"/>
    <x v="3"/>
    <n v="-6.774"/>
    <n v="2.4900000000000002"/>
    <s v="Medium"/>
    <n v="2014"/>
  </r>
  <r>
    <s v="IN-2013-50536"/>
    <x v="7"/>
    <x v="8"/>
    <s v="Standard Class"/>
    <x v="8"/>
    <x v="2"/>
    <s v="Khyber Pakhtunkhwa"/>
    <s v="Pakistan"/>
    <s v="APAC"/>
    <x v="3"/>
    <s v="OFF-FA-10004067"/>
    <x v="0"/>
    <x v="6"/>
    <x v="8"/>
    <n v="23"/>
    <n v="3"/>
    <x v="4"/>
    <n v="-6.6150000000000002"/>
    <n v="1.06"/>
    <s v="High"/>
    <n v="2013"/>
  </r>
  <r>
    <s v="US-2013-115756"/>
    <x v="8"/>
    <x v="9"/>
    <s v="Standard Class"/>
    <x v="9"/>
    <x v="1"/>
    <s v="AtlÃ¡ntida"/>
    <s v="Honduras"/>
    <s v="LATAM"/>
    <x v="2"/>
    <s v="OFF-PA-10000915"/>
    <x v="0"/>
    <x v="7"/>
    <x v="9"/>
    <n v="42"/>
    <n v="4"/>
    <x v="5"/>
    <n v="-19.135999999999999"/>
    <n v="5.32"/>
    <s v="High"/>
    <n v="2013"/>
  </r>
  <r>
    <s v="IZ-2013-3780"/>
    <x v="9"/>
    <x v="10"/>
    <s v="Second Class"/>
    <x v="10"/>
    <x v="0"/>
    <s v="Al Qadisiyah"/>
    <s v="Iraq"/>
    <s v="EMEA"/>
    <x v="4"/>
    <s v="OFF-BOS-10000577"/>
    <x v="0"/>
    <x v="5"/>
    <x v="10"/>
    <n v="75"/>
    <n v="4"/>
    <x v="1"/>
    <n v="18.84"/>
    <n v="10.95"/>
    <s v="High"/>
    <n v="2013"/>
  </r>
  <r>
    <s v="SU-2013-4080"/>
    <x v="10"/>
    <x v="11"/>
    <s v="First Class"/>
    <x v="11"/>
    <x v="2"/>
    <s v="Gezira"/>
    <s v="Sudan"/>
    <s v="Africa"/>
    <x v="5"/>
    <s v="OFF-AVE-10004556"/>
    <x v="0"/>
    <x v="0"/>
    <x v="11"/>
    <n v="29"/>
    <n v="6"/>
    <x v="1"/>
    <n v="12.24"/>
    <n v="6.24"/>
    <s v="Medium"/>
    <n v="2013"/>
  </r>
  <r>
    <s v="IN-2011-31496"/>
    <x v="3"/>
    <x v="12"/>
    <s v="Second Class"/>
    <x v="12"/>
    <x v="1"/>
    <s v="Telangana"/>
    <s v="India"/>
    <s v="APAC"/>
    <x v="3"/>
    <s v="OFF-PA-10000070"/>
    <x v="0"/>
    <x v="7"/>
    <x v="12"/>
    <n v="79"/>
    <n v="3"/>
    <x v="1"/>
    <n v="25.38"/>
    <n v="13.82"/>
    <s v="High"/>
    <n v="2011"/>
  </r>
  <r>
    <s v="IT-2013-1399443"/>
    <x v="11"/>
    <x v="13"/>
    <s v="Standard Class"/>
    <x v="13"/>
    <x v="0"/>
    <s v="England"/>
    <s v="United Kingdom"/>
    <s v="EU"/>
    <x v="6"/>
    <s v="OFF-ST-10002263"/>
    <x v="0"/>
    <x v="3"/>
    <x v="13"/>
    <n v="152"/>
    <n v="5"/>
    <x v="4"/>
    <n v="-3.0750000000000002"/>
    <n v="10.02"/>
    <s v="Medium"/>
    <n v="2013"/>
  </r>
  <r>
    <s v="CA-2014-112725"/>
    <x v="12"/>
    <x v="14"/>
    <s v="Standard Class"/>
    <x v="14"/>
    <x v="1"/>
    <s v="California"/>
    <s v="United States"/>
    <s v="US"/>
    <x v="7"/>
    <s v="FUR-CH-10000863"/>
    <x v="1"/>
    <x v="8"/>
    <x v="14"/>
    <n v="121"/>
    <n v="1"/>
    <x v="6"/>
    <n v="-13.588200000000001"/>
    <n v="14.17"/>
    <s v="Low"/>
    <n v="2014"/>
  </r>
  <r>
    <s v="NI-2012-7400"/>
    <x v="13"/>
    <x v="15"/>
    <s v="Standard Class"/>
    <x v="15"/>
    <x v="2"/>
    <s v="Kano"/>
    <s v="Nigeria"/>
    <s v="Africa"/>
    <x v="5"/>
    <s v="TEC-CIS-10003103"/>
    <x v="2"/>
    <x v="9"/>
    <x v="15"/>
    <n v="24"/>
    <n v="1"/>
    <x v="7"/>
    <n v="-23.385000000000002"/>
    <n v="1.78"/>
    <s v="Medium"/>
    <n v="2012"/>
  </r>
  <r>
    <s v="IN-2014-13296"/>
    <x v="6"/>
    <x v="16"/>
    <s v="Standard Class"/>
    <x v="16"/>
    <x v="2"/>
    <s v="Hainan"/>
    <s v="China"/>
    <s v="APAC"/>
    <x v="8"/>
    <s v="OFF-LA-10002020"/>
    <x v="0"/>
    <x v="4"/>
    <x v="16"/>
    <n v="77"/>
    <n v="6"/>
    <x v="1"/>
    <n v="17.64"/>
    <n v="6.06"/>
    <s v="Medium"/>
    <n v="2014"/>
  </r>
  <r>
    <s v="CA-2011-126907"/>
    <x v="14"/>
    <x v="17"/>
    <s v="Standard Class"/>
    <x v="17"/>
    <x v="0"/>
    <s v="Illinois"/>
    <s v="United States"/>
    <s v="US"/>
    <x v="2"/>
    <s v="OFF-PA-10000533"/>
    <x v="0"/>
    <x v="7"/>
    <x v="17"/>
    <n v="16"/>
    <n v="3"/>
    <x v="6"/>
    <n v="5.1012000000000004"/>
    <n v="1.82"/>
    <s v="Low"/>
    <n v="2011"/>
  </r>
  <r>
    <s v="LY-2014-4680"/>
    <x v="15"/>
    <x v="18"/>
    <s v="Standard Class"/>
    <x v="18"/>
    <x v="1"/>
    <s v="Misratah"/>
    <s v="Libya"/>
    <s v="Africa"/>
    <x v="5"/>
    <s v="TEC-CIS-10003439"/>
    <x v="2"/>
    <x v="9"/>
    <x v="18"/>
    <n v="354"/>
    <n v="4"/>
    <x v="1"/>
    <n v="14.16"/>
    <n v="62.9"/>
    <s v="High"/>
    <n v="2014"/>
  </r>
  <r>
    <s v="IN-2014-32014"/>
    <x v="16"/>
    <x v="19"/>
    <s v="Standard Class"/>
    <x v="19"/>
    <x v="0"/>
    <s v="Jiangxi"/>
    <s v="China"/>
    <s v="APAC"/>
    <x v="8"/>
    <s v="OFF-BI-10000439"/>
    <x v="0"/>
    <x v="0"/>
    <x v="19"/>
    <n v="13"/>
    <n v="2"/>
    <x v="1"/>
    <n v="4.92"/>
    <n v="1.91"/>
    <s v="High"/>
    <n v="2014"/>
  </r>
  <r>
    <s v="MG-2011-9660"/>
    <x v="17"/>
    <x v="20"/>
    <s v="Standard Class"/>
    <x v="20"/>
    <x v="0"/>
    <s v="Ulaanbaatar"/>
    <s v="Mongolia"/>
    <s v="EMEA"/>
    <x v="4"/>
    <s v="OFF-FEL-10002867"/>
    <x v="0"/>
    <x v="3"/>
    <x v="20"/>
    <n v="1244"/>
    <n v="6"/>
    <x v="1"/>
    <n v="211.5"/>
    <n v="88.66"/>
    <s v="Medium"/>
    <n v="2011"/>
  </r>
  <r>
    <s v="ES-2014-2538935"/>
    <x v="18"/>
    <x v="7"/>
    <s v="Standard Class"/>
    <x v="21"/>
    <x v="1"/>
    <s v="England"/>
    <s v="United Kingdom"/>
    <s v="EU"/>
    <x v="6"/>
    <s v="OFF-AR-10001759"/>
    <x v="0"/>
    <x v="5"/>
    <x v="21"/>
    <n v="93"/>
    <n v="2"/>
    <x v="1"/>
    <n v="43.92"/>
    <n v="6.37"/>
    <s v="Medium"/>
    <n v="2014"/>
  </r>
  <r>
    <s v="IN-2012-23089"/>
    <x v="19"/>
    <x v="21"/>
    <s v="Standard Class"/>
    <x v="22"/>
    <x v="2"/>
    <s v="Guangdong"/>
    <s v="China"/>
    <s v="APAC"/>
    <x v="8"/>
    <s v="OFF-LA-10000707"/>
    <x v="0"/>
    <x v="4"/>
    <x v="22"/>
    <n v="9"/>
    <n v="1"/>
    <x v="1"/>
    <n v="0.24"/>
    <n v="0.4"/>
    <s v="Medium"/>
    <n v="2012"/>
  </r>
  <r>
    <s v="CA-2011-157147"/>
    <x v="20"/>
    <x v="22"/>
    <s v="Standard Class"/>
    <x v="23"/>
    <x v="2"/>
    <s v="California"/>
    <s v="United States"/>
    <s v="US"/>
    <x v="7"/>
    <s v="OFF-ST-10000078"/>
    <x v="0"/>
    <x v="3"/>
    <x v="23"/>
    <n v="1326"/>
    <n v="5"/>
    <x v="1"/>
    <n v="238.65299999999999"/>
    <n v="187.65"/>
    <s v="High"/>
    <n v="2011"/>
  </r>
  <r>
    <s v="IN-2014-27303"/>
    <x v="21"/>
    <x v="23"/>
    <s v="Standard Class"/>
    <x v="24"/>
    <x v="0"/>
    <s v="Beijing"/>
    <s v="China"/>
    <s v="APAC"/>
    <x v="8"/>
    <s v="TEC-MA-10004424"/>
    <x v="2"/>
    <x v="10"/>
    <x v="24"/>
    <n v="170"/>
    <n v="2"/>
    <x v="1"/>
    <n v="27.18"/>
    <n v="15.06"/>
    <s v="High"/>
    <n v="2014"/>
  </r>
  <r>
    <s v="NI-2013-6670"/>
    <x v="22"/>
    <x v="24"/>
    <s v="Standard Class"/>
    <x v="25"/>
    <x v="0"/>
    <s v="Rivers"/>
    <s v="Nigeria"/>
    <s v="Africa"/>
    <x v="5"/>
    <s v="OFF-SME-10003134"/>
    <x v="0"/>
    <x v="3"/>
    <x v="25"/>
    <n v="3"/>
    <n v="1"/>
    <x v="7"/>
    <n v="-4.7699999999999996"/>
    <n v="0.23"/>
    <s v="Medium"/>
    <n v="2013"/>
  </r>
  <r>
    <s v="ES-2014-5167464"/>
    <x v="6"/>
    <x v="25"/>
    <s v="Standard Class"/>
    <x v="26"/>
    <x v="0"/>
    <s v="North Rhine-Westphalia"/>
    <s v="Germany"/>
    <s v="EU"/>
    <x v="2"/>
    <s v="OFF-LA-10004727"/>
    <x v="0"/>
    <x v="4"/>
    <x v="26"/>
    <n v="17"/>
    <n v="2"/>
    <x v="1"/>
    <n v="2.04"/>
    <n v="2.17"/>
    <s v="High"/>
    <n v="2014"/>
  </r>
  <r>
    <s v="IN-2011-81833"/>
    <x v="23"/>
    <x v="26"/>
    <s v="Standard Class"/>
    <x v="27"/>
    <x v="2"/>
    <s v="Wellington"/>
    <s v="New Zealand"/>
    <s v="APAC"/>
    <x v="9"/>
    <s v="TEC-PH-10004575"/>
    <x v="2"/>
    <x v="9"/>
    <x v="27"/>
    <n v="2571"/>
    <n v="4"/>
    <x v="1"/>
    <n v="102.84"/>
    <n v="129"/>
    <s v="Medium"/>
    <n v="2011"/>
  </r>
  <r>
    <s v="CA-2014-3540"/>
    <x v="24"/>
    <x v="27"/>
    <s v="Standard Class"/>
    <x v="28"/>
    <x v="2"/>
    <s v="Ontario"/>
    <s v="Canada"/>
    <s v="Canada"/>
    <x v="10"/>
    <s v="TEC-CIS-10003017"/>
    <x v="2"/>
    <x v="9"/>
    <x v="28"/>
    <n v="304"/>
    <n v="2"/>
    <x v="1"/>
    <n v="75.900000000000006"/>
    <n v="14.33"/>
    <s v="Medium"/>
    <n v="2014"/>
  </r>
  <r>
    <s v="IT-2013-2494403"/>
    <x v="25"/>
    <x v="28"/>
    <s v="Second Class"/>
    <x v="29"/>
    <x v="2"/>
    <s v="Madrid"/>
    <s v="Spain"/>
    <s v="EU"/>
    <x v="1"/>
    <s v="OFF-AR-10000785"/>
    <x v="0"/>
    <x v="5"/>
    <x v="29"/>
    <n v="104"/>
    <n v="2"/>
    <x v="1"/>
    <n v="15.54"/>
    <n v="16.8"/>
    <s v="High"/>
    <n v="2013"/>
  </r>
  <r>
    <s v="IN-2012-40029"/>
    <x v="26"/>
    <x v="29"/>
    <s v="Standard Class"/>
    <x v="30"/>
    <x v="0"/>
    <s v="Sichuan"/>
    <s v="China"/>
    <s v="APAC"/>
    <x v="8"/>
    <s v="OFF-ST-10001752"/>
    <x v="0"/>
    <x v="3"/>
    <x v="4"/>
    <n v="161"/>
    <n v="3"/>
    <x v="1"/>
    <n v="27.36"/>
    <n v="13.42"/>
    <s v="Medium"/>
    <n v="2012"/>
  </r>
  <r>
    <s v="US-2013-116771"/>
    <x v="27"/>
    <x v="30"/>
    <s v="Same Day"/>
    <x v="31"/>
    <x v="2"/>
    <s v="La Vega"/>
    <s v="Dominican Republic"/>
    <s v="LATAM"/>
    <x v="11"/>
    <s v="OFF-AR-10000904"/>
    <x v="0"/>
    <x v="5"/>
    <x v="30"/>
    <n v="146"/>
    <n v="6"/>
    <x v="6"/>
    <n v="-27.384"/>
    <n v="41.42"/>
    <s v="Critical"/>
    <n v="2013"/>
  </r>
  <r>
    <s v="IN-2013-52734"/>
    <x v="28"/>
    <x v="31"/>
    <s v="Standard Class"/>
    <x v="32"/>
    <x v="0"/>
    <s v="Tokyo"/>
    <s v="Japan"/>
    <s v="APAC"/>
    <x v="8"/>
    <s v="OFF-ST-10003017"/>
    <x v="0"/>
    <x v="3"/>
    <x v="31"/>
    <n v="68"/>
    <n v="4"/>
    <x v="1"/>
    <n v="10.08"/>
    <n v="2.9"/>
    <s v="Medium"/>
    <n v="2013"/>
  </r>
  <r>
    <s v="NI-2014-8880"/>
    <x v="29"/>
    <x v="6"/>
    <s v="Same Day"/>
    <x v="33"/>
    <x v="0"/>
    <s v="Abia"/>
    <s v="Nigeria"/>
    <s v="Africa"/>
    <x v="5"/>
    <s v="OFF-BOS-10002073"/>
    <x v="0"/>
    <x v="5"/>
    <x v="32"/>
    <n v="17"/>
    <n v="1"/>
    <x v="7"/>
    <n v="-31.254000000000001"/>
    <n v="1.1200000000000001"/>
    <s v="High"/>
    <n v="2014"/>
  </r>
  <r>
    <s v="NI-2011-4760"/>
    <x v="30"/>
    <x v="32"/>
    <s v="Second Class"/>
    <x v="34"/>
    <x v="0"/>
    <s v="Lagos"/>
    <s v="Nigeria"/>
    <s v="Africa"/>
    <x v="5"/>
    <s v="OFF-HOO-10002715"/>
    <x v="0"/>
    <x v="1"/>
    <x v="33"/>
    <n v="40"/>
    <n v="2"/>
    <x v="7"/>
    <n v="-89.742000000000004"/>
    <n v="11.29"/>
    <s v="Critical"/>
    <n v="2011"/>
  </r>
  <r>
    <s v="CA-2011-117345"/>
    <x v="30"/>
    <x v="33"/>
    <s v="Standard Class"/>
    <x v="35"/>
    <x v="0"/>
    <s v="North Carolina"/>
    <s v="United States"/>
    <s v="US"/>
    <x v="1"/>
    <s v="OFF-LA-10000240"/>
    <x v="0"/>
    <x v="4"/>
    <x v="34"/>
    <n v="18"/>
    <n v="3"/>
    <x v="6"/>
    <n v="5.9211"/>
    <n v="0.93"/>
    <s v="Medium"/>
    <n v="2011"/>
  </r>
  <r>
    <s v="IT-2014-3798415"/>
    <x v="0"/>
    <x v="34"/>
    <s v="Standard Class"/>
    <x v="36"/>
    <x v="2"/>
    <s v="Lisboa"/>
    <s v="Portugal"/>
    <s v="EU"/>
    <x v="1"/>
    <s v="TEC-PH-10004772"/>
    <x v="2"/>
    <x v="9"/>
    <x v="35"/>
    <n v="143"/>
    <n v="2"/>
    <x v="4"/>
    <n v="-128.94"/>
    <n v="10.56"/>
    <s v="Medium"/>
    <n v="2014"/>
  </r>
  <r>
    <s v="IR-2011-3890"/>
    <x v="3"/>
    <x v="12"/>
    <s v="First Class"/>
    <x v="37"/>
    <x v="1"/>
    <s v="Markazi"/>
    <s v="Iran"/>
    <s v="EMEA"/>
    <x v="4"/>
    <s v="TEC-ENE-10004627"/>
    <x v="2"/>
    <x v="11"/>
    <x v="36"/>
    <n v="256"/>
    <n v="1"/>
    <x v="1"/>
    <n v="102.45"/>
    <n v="19.7"/>
    <s v="High"/>
    <n v="2011"/>
  </r>
  <r>
    <s v="IT-2013-4258921"/>
    <x v="31"/>
    <x v="35"/>
    <s v="First Class"/>
    <x v="38"/>
    <x v="1"/>
    <s v="Campania"/>
    <s v="Italy"/>
    <s v="EU"/>
    <x v="1"/>
    <s v="FUR-CH-10002152"/>
    <x v="1"/>
    <x v="8"/>
    <x v="37"/>
    <n v="95"/>
    <n v="5"/>
    <x v="3"/>
    <n v="-113.85"/>
    <n v="5.25"/>
    <s v="Medium"/>
    <n v="2013"/>
  </r>
  <r>
    <s v="MX-2011-165526"/>
    <x v="32"/>
    <x v="36"/>
    <s v="Standard Class"/>
    <x v="39"/>
    <x v="0"/>
    <s v="AtlÃ¡ntico"/>
    <s v="Colombia"/>
    <s v="LATAM"/>
    <x v="1"/>
    <s v="TEC-AC-10003047"/>
    <x v="2"/>
    <x v="11"/>
    <x v="38"/>
    <n v="109"/>
    <n v="2"/>
    <x v="1"/>
    <n v="27.2"/>
    <n v="9"/>
    <s v="Medium"/>
    <n v="2011"/>
  </r>
  <r>
    <s v="ES-2014-5706764"/>
    <x v="12"/>
    <x v="37"/>
    <s v="Standard Class"/>
    <x v="40"/>
    <x v="1"/>
    <s v="Sicily"/>
    <s v="Italy"/>
    <s v="EU"/>
    <x v="1"/>
    <s v="OFF-BI-10003999"/>
    <x v="0"/>
    <x v="0"/>
    <x v="39"/>
    <n v="23"/>
    <n v="6"/>
    <x v="1"/>
    <n v="2.16"/>
    <n v="0.71"/>
    <s v="Medium"/>
    <n v="2014"/>
  </r>
  <r>
    <s v="CA-2014-161102"/>
    <x v="33"/>
    <x v="38"/>
    <s v="First Class"/>
    <x v="41"/>
    <x v="2"/>
    <s v="California"/>
    <s v="United States"/>
    <s v="US"/>
    <x v="7"/>
    <s v="OFF-ST-10003442"/>
    <x v="0"/>
    <x v="3"/>
    <x v="40"/>
    <n v="57"/>
    <n v="2"/>
    <x v="1"/>
    <n v="15.2712"/>
    <n v="6.74"/>
    <s v="High"/>
    <n v="2014"/>
  </r>
  <r>
    <s v="PL-2013-2260"/>
    <x v="34"/>
    <x v="39"/>
    <s v="Second Class"/>
    <x v="42"/>
    <x v="1"/>
    <s v="Silesia"/>
    <s v="Poland"/>
    <s v="EMEA"/>
    <x v="4"/>
    <s v="FUR-ADV-10004395"/>
    <x v="1"/>
    <x v="2"/>
    <x v="41"/>
    <n v="42"/>
    <n v="1"/>
    <x v="1"/>
    <n v="21.03"/>
    <n v="3.34"/>
    <s v="Medium"/>
    <n v="2013"/>
  </r>
  <r>
    <s v="ES-2011-3104322"/>
    <x v="35"/>
    <x v="3"/>
    <s v="Standard Class"/>
    <x v="43"/>
    <x v="2"/>
    <s v="Poitou-Charentes"/>
    <s v="France"/>
    <s v="EU"/>
    <x v="2"/>
    <s v="OFF-AR-10002640"/>
    <x v="0"/>
    <x v="5"/>
    <x v="42"/>
    <n v="71"/>
    <n v="5"/>
    <x v="1"/>
    <n v="1.35"/>
    <n v="6.64"/>
    <s v="Medium"/>
    <n v="2011"/>
  </r>
  <r>
    <s v="US-2011-157021"/>
    <x v="36"/>
    <x v="40"/>
    <s v="Second Class"/>
    <x v="44"/>
    <x v="2"/>
    <s v="California"/>
    <s v="United States"/>
    <s v="US"/>
    <x v="7"/>
    <s v="OFF-BI-10000042"/>
    <x v="0"/>
    <x v="0"/>
    <x v="43"/>
    <n v="17"/>
    <n v="4"/>
    <x v="6"/>
    <n v="5.5536000000000003"/>
    <n v="0.65"/>
    <s v="Medium"/>
    <n v="2011"/>
  </r>
  <r>
    <s v="CA-2014-161893"/>
    <x v="4"/>
    <x v="41"/>
    <s v="Standard Class"/>
    <x v="45"/>
    <x v="1"/>
    <s v="Arizona"/>
    <s v="United States"/>
    <s v="US"/>
    <x v="7"/>
    <s v="OFF-BI-10004506"/>
    <x v="0"/>
    <x v="0"/>
    <x v="44"/>
    <n v="5"/>
    <n v="2"/>
    <x v="7"/>
    <n v="-3.6212"/>
    <n v="0.76"/>
    <s v="High"/>
    <n v="2014"/>
  </r>
  <r>
    <s v="ID-2011-86950"/>
    <x v="32"/>
    <x v="42"/>
    <s v="First Class"/>
    <x v="46"/>
    <x v="2"/>
    <s v="Queensland"/>
    <s v="Australia"/>
    <s v="APAC"/>
    <x v="9"/>
    <s v="OFF-AR-10000751"/>
    <x v="0"/>
    <x v="5"/>
    <x v="45"/>
    <n v="60"/>
    <n v="6"/>
    <x v="5"/>
    <n v="-33.875999999999998"/>
    <n v="27.43"/>
    <s v="Critical"/>
    <n v="2011"/>
  </r>
  <r>
    <s v="BU-2012-7980"/>
    <x v="37"/>
    <x v="43"/>
    <s v="Second Class"/>
    <x v="47"/>
    <x v="2"/>
    <s v="Sofiya-Grad"/>
    <s v="Bulgaria"/>
    <s v="EMEA"/>
    <x v="4"/>
    <s v="TEC-SAM-10000779"/>
    <x v="2"/>
    <x v="9"/>
    <x v="46"/>
    <n v="279"/>
    <n v="2"/>
    <x v="1"/>
    <n v="114.3"/>
    <n v="38.86"/>
    <s v="High"/>
    <n v="2012"/>
  </r>
  <r>
    <s v="IT-2012-5303768"/>
    <x v="37"/>
    <x v="44"/>
    <s v="Standard Class"/>
    <x v="48"/>
    <x v="0"/>
    <s v="AndalusÃ­a"/>
    <s v="Spain"/>
    <s v="EU"/>
    <x v="1"/>
    <s v="FUR-TA-10000323"/>
    <x v="1"/>
    <x v="12"/>
    <x v="47"/>
    <n v="1451"/>
    <n v="8"/>
    <x v="3"/>
    <n v="-362.78399999999999"/>
    <n v="138.34"/>
    <s v="Medium"/>
    <n v="2012"/>
  </r>
  <r>
    <s v="IN-2013-40218"/>
    <x v="25"/>
    <x v="10"/>
    <s v="Standard Class"/>
    <x v="40"/>
    <x v="1"/>
    <s v="Shanxi"/>
    <s v="China"/>
    <s v="APAC"/>
    <x v="8"/>
    <s v="OFF-PA-10000116"/>
    <x v="0"/>
    <x v="7"/>
    <x v="48"/>
    <n v="27"/>
    <n v="2"/>
    <x v="1"/>
    <n v="5.52"/>
    <n v="3.97"/>
    <s v="High"/>
    <n v="2013"/>
  </r>
  <r>
    <s v="ID-2014-23201"/>
    <x v="12"/>
    <x v="45"/>
    <s v="Standard Class"/>
    <x v="49"/>
    <x v="0"/>
    <s v="New South Wales"/>
    <s v="Australia"/>
    <s v="APAC"/>
    <x v="9"/>
    <s v="FUR-BO-10001934"/>
    <x v="1"/>
    <x v="13"/>
    <x v="49"/>
    <n v="655"/>
    <n v="2"/>
    <x v="2"/>
    <n v="-14.555999999999999"/>
    <n v="30.47"/>
    <s v="Medium"/>
    <n v="2014"/>
  </r>
  <r>
    <s v="CA-2011-113880"/>
    <x v="38"/>
    <x v="46"/>
    <s v="Standard Class"/>
    <x v="50"/>
    <x v="1"/>
    <s v="Illinois"/>
    <s v="United States"/>
    <s v="US"/>
    <x v="2"/>
    <s v="FUR-CH-10000863"/>
    <x v="1"/>
    <x v="8"/>
    <x v="14"/>
    <n v="634"/>
    <n v="6"/>
    <x v="8"/>
    <n v="-172.1172"/>
    <n v="70.05"/>
    <s v="High"/>
    <n v="2011"/>
  </r>
  <r>
    <s v="MX-2013-151022"/>
    <x v="39"/>
    <x v="47"/>
    <s v="First Class"/>
    <x v="51"/>
    <x v="0"/>
    <s v="Pernambuco"/>
    <s v="Brazil"/>
    <s v="LATAM"/>
    <x v="1"/>
    <s v="TEC-CO-10000887"/>
    <x v="2"/>
    <x v="14"/>
    <x v="50"/>
    <n v="351"/>
    <n v="2"/>
    <x v="9"/>
    <n v="20.37688"/>
    <n v="43.03"/>
    <s v="High"/>
    <n v="2013"/>
  </r>
  <r>
    <s v="IT-2013-5130549"/>
    <x v="40"/>
    <x v="48"/>
    <s v="Standard Class"/>
    <x v="52"/>
    <x v="2"/>
    <s v="Midi-PyrÃ©nÃ©es"/>
    <s v="France"/>
    <s v="EU"/>
    <x v="2"/>
    <s v="OFF-ST-10001413"/>
    <x v="0"/>
    <x v="3"/>
    <x v="51"/>
    <n v="37"/>
    <n v="3"/>
    <x v="3"/>
    <n v="-53.442"/>
    <n v="2.41"/>
    <s v="Medium"/>
    <n v="2013"/>
  </r>
  <r>
    <s v="ES-2014-2172414"/>
    <x v="41"/>
    <x v="49"/>
    <s v="Standard Class"/>
    <x v="53"/>
    <x v="2"/>
    <s v="Lower Saxony"/>
    <s v="Germany"/>
    <s v="EU"/>
    <x v="2"/>
    <s v="FUR-CH-10002610"/>
    <x v="1"/>
    <x v="8"/>
    <x v="52"/>
    <n v="292"/>
    <n v="2"/>
    <x v="2"/>
    <n v="-22.686"/>
    <n v="35.340000000000003"/>
    <s v="Low"/>
    <n v="2014"/>
  </r>
  <r>
    <s v="CA-2012-137946"/>
    <x v="42"/>
    <x v="50"/>
    <s v="Second Class"/>
    <x v="54"/>
    <x v="2"/>
    <s v="California"/>
    <s v="United States"/>
    <s v="US"/>
    <x v="7"/>
    <s v="OFF-BI-10004140"/>
    <x v="0"/>
    <x v="0"/>
    <x v="53"/>
    <n v="14"/>
    <n v="4"/>
    <x v="6"/>
    <n v="4.49"/>
    <n v="3.78"/>
    <s v="Critical"/>
    <n v="2012"/>
  </r>
  <r>
    <s v="ES-2013-2898079"/>
    <x v="25"/>
    <x v="51"/>
    <s v="Standard Class"/>
    <x v="55"/>
    <x v="1"/>
    <s v="England"/>
    <s v="United Kingdom"/>
    <s v="EU"/>
    <x v="6"/>
    <s v="OFF-BI-10003114"/>
    <x v="0"/>
    <x v="0"/>
    <x v="54"/>
    <n v="21"/>
    <n v="3"/>
    <x v="1"/>
    <n v="10.26"/>
    <n v="0.94"/>
    <s v="Medium"/>
    <n v="2013"/>
  </r>
  <r>
    <s v="CA-2014-139304"/>
    <x v="21"/>
    <x v="23"/>
    <s v="Standard Class"/>
    <x v="56"/>
    <x v="2"/>
    <s v="California"/>
    <s v="United States"/>
    <s v="US"/>
    <x v="7"/>
    <s v="OFF-SU-10001664"/>
    <x v="0"/>
    <x v="15"/>
    <x v="55"/>
    <n v="9"/>
    <n v="1"/>
    <x v="1"/>
    <n v="2.2282000000000002"/>
    <n v="0.19"/>
    <s v="High"/>
    <n v="2014"/>
  </r>
  <r>
    <s v="ID-2013-75869"/>
    <x v="43"/>
    <x v="52"/>
    <s v="Standard Class"/>
    <x v="57"/>
    <x v="2"/>
    <s v="Victoria"/>
    <s v="Australia"/>
    <s v="APAC"/>
    <x v="9"/>
    <s v="OFF-PA-10002479"/>
    <x v="0"/>
    <x v="7"/>
    <x v="56"/>
    <n v="138"/>
    <n v="3"/>
    <x v="2"/>
    <n v="58.338000000000001"/>
    <n v="6.82"/>
    <s v="Medium"/>
    <n v="2013"/>
  </r>
  <r>
    <s v="TU-2011-5460"/>
    <x v="3"/>
    <x v="53"/>
    <s v="Standard Class"/>
    <x v="58"/>
    <x v="2"/>
    <s v="Izmir"/>
    <s v="Turkey"/>
    <s v="EMEA"/>
    <x v="4"/>
    <s v="OFF-XER-10001746"/>
    <x v="0"/>
    <x v="7"/>
    <x v="57"/>
    <n v="16"/>
    <n v="2"/>
    <x v="3"/>
    <n v="-5.7240000000000002"/>
    <n v="1.28"/>
    <s v="Medium"/>
    <n v="2011"/>
  </r>
  <r>
    <s v="IN-2014-51635"/>
    <x v="44"/>
    <x v="16"/>
    <s v="Same Day"/>
    <x v="59"/>
    <x v="2"/>
    <s v="Jakarta"/>
    <s v="Indonesia"/>
    <s v="APAC"/>
    <x v="0"/>
    <s v="TEC-CO-10001674"/>
    <x v="2"/>
    <x v="14"/>
    <x v="58"/>
    <n v="113"/>
    <n v="1"/>
    <x v="10"/>
    <n v="37.639200000000002"/>
    <n v="25.04"/>
    <s v="High"/>
    <n v="2014"/>
  </r>
  <r>
    <s v="MX-2011-115140"/>
    <x v="45"/>
    <x v="54"/>
    <s v="Standard Class"/>
    <x v="60"/>
    <x v="2"/>
    <s v="Managua"/>
    <s v="Nicaragua"/>
    <s v="LATAM"/>
    <x v="2"/>
    <s v="OFF-PA-10002363"/>
    <x v="0"/>
    <x v="7"/>
    <x v="59"/>
    <n v="27"/>
    <n v="2"/>
    <x v="1"/>
    <n v="8.44"/>
    <n v="1.97"/>
    <s v="Medium"/>
    <n v="2011"/>
  </r>
  <r>
    <s v="CA-2013-124100"/>
    <x v="46"/>
    <x v="55"/>
    <s v="Standard Class"/>
    <x v="61"/>
    <x v="2"/>
    <s v="New York"/>
    <s v="United States"/>
    <s v="US"/>
    <x v="12"/>
    <s v="FUR-CH-10003817"/>
    <x v="1"/>
    <x v="8"/>
    <x v="60"/>
    <n v="328"/>
    <n v="6"/>
    <x v="2"/>
    <n v="54.665999999999997"/>
    <n v="19.489999999999998"/>
    <s v="Medium"/>
    <n v="2013"/>
  </r>
  <r>
    <s v="MX-2014-161354"/>
    <x v="47"/>
    <x v="56"/>
    <s v="Standard Class"/>
    <x v="62"/>
    <x v="2"/>
    <s v="Mayabeque"/>
    <s v="Cuba"/>
    <s v="LATAM"/>
    <x v="11"/>
    <s v="OFF-AP-10003135"/>
    <x v="0"/>
    <x v="1"/>
    <x v="61"/>
    <n v="278"/>
    <n v="5"/>
    <x v="1"/>
    <n v="116.8"/>
    <n v="28.1"/>
    <s v="Medium"/>
    <n v="2014"/>
  </r>
  <r>
    <s v="US-2011-154767"/>
    <x v="48"/>
    <x v="57"/>
    <s v="Standard Class"/>
    <x v="63"/>
    <x v="0"/>
    <s v="Distrito Capital"/>
    <s v="Venezuela"/>
    <s v="LATAM"/>
    <x v="1"/>
    <s v="OFF-EN-10003898"/>
    <x v="0"/>
    <x v="16"/>
    <x v="62"/>
    <n v="52"/>
    <n v="7"/>
    <x v="5"/>
    <n v="-34.048000000000002"/>
    <n v="3.74"/>
    <s v="Medium"/>
    <n v="2011"/>
  </r>
  <r>
    <s v="MX-2014-156566"/>
    <x v="49"/>
    <x v="58"/>
    <s v="Standard Class"/>
    <x v="64"/>
    <x v="2"/>
    <s v="Panama"/>
    <s v="Panama"/>
    <s v="LATAM"/>
    <x v="2"/>
    <s v="TEC-CO-10000388"/>
    <x v="2"/>
    <x v="14"/>
    <x v="63"/>
    <n v="383"/>
    <n v="3"/>
    <x v="11"/>
    <n v="-257.14332000000002"/>
    <n v="9.84"/>
    <s v="Medium"/>
    <n v="2014"/>
  </r>
  <r>
    <s v="IN-2012-43165"/>
    <x v="50"/>
    <x v="59"/>
    <s v="Standard Class"/>
    <x v="65"/>
    <x v="2"/>
    <s v="Puducherry"/>
    <s v="India"/>
    <s v="APAC"/>
    <x v="3"/>
    <s v="OFF-AR-10001329"/>
    <x v="0"/>
    <x v="5"/>
    <x v="64"/>
    <n v="31"/>
    <n v="2"/>
    <x v="1"/>
    <n v="9"/>
    <n v="1.83"/>
    <s v="Medium"/>
    <n v="2012"/>
  </r>
  <r>
    <s v="ID-2013-53833"/>
    <x v="8"/>
    <x v="9"/>
    <s v="Standard Class"/>
    <x v="66"/>
    <x v="2"/>
    <s v="Queensland"/>
    <s v="Australia"/>
    <s v="APAC"/>
    <x v="9"/>
    <s v="TEC-PH-10003556"/>
    <x v="2"/>
    <x v="9"/>
    <x v="65"/>
    <n v="888"/>
    <n v="8"/>
    <x v="2"/>
    <n v="246.45599999999999"/>
    <n v="94.65"/>
    <s v="Medium"/>
    <n v="2013"/>
  </r>
  <r>
    <s v="IV-2014-6290"/>
    <x v="51"/>
    <x v="60"/>
    <s v="Second Class"/>
    <x v="67"/>
    <x v="1"/>
    <s v="Vallee Du Bandama"/>
    <s v="Cote d'Ivoire"/>
    <s v="Africa"/>
    <x v="5"/>
    <s v="OFF-FEL-10004665"/>
    <x v="0"/>
    <x v="3"/>
    <x v="66"/>
    <n v="415"/>
    <n v="2"/>
    <x v="1"/>
    <n v="107.76"/>
    <n v="105.5"/>
    <s v="High"/>
    <n v="2014"/>
  </r>
  <r>
    <s v="MO-2013-860"/>
    <x v="7"/>
    <x v="61"/>
    <s v="Standard Class"/>
    <x v="68"/>
    <x v="0"/>
    <s v="Rabat-SalÃ©-Zemmour-Zaer"/>
    <s v="Morocco"/>
    <s v="Africa"/>
    <x v="5"/>
    <s v="FUR-HON-10001343"/>
    <x v="1"/>
    <x v="12"/>
    <x v="67"/>
    <n v="635"/>
    <n v="2"/>
    <x v="1"/>
    <n v="215.76"/>
    <n v="64.349999999999994"/>
    <s v="Medium"/>
    <n v="2013"/>
  </r>
  <r>
    <s v="ES-2014-2067525"/>
    <x v="52"/>
    <x v="37"/>
    <s v="Standard Class"/>
    <x v="69"/>
    <x v="2"/>
    <s v="RhÃ´ne-Alpes"/>
    <s v="France"/>
    <s v="EU"/>
    <x v="2"/>
    <s v="OFF-EN-10000353"/>
    <x v="0"/>
    <x v="16"/>
    <x v="68"/>
    <n v="122"/>
    <n v="3"/>
    <x v="1"/>
    <n v="61.02"/>
    <n v="1.0900000000000001"/>
    <s v="Low"/>
    <n v="2014"/>
  </r>
  <r>
    <s v="IN-2013-73412"/>
    <x v="22"/>
    <x v="24"/>
    <s v="Standard Class"/>
    <x v="70"/>
    <x v="0"/>
    <s v="Bihar"/>
    <s v="India"/>
    <s v="APAC"/>
    <x v="3"/>
    <s v="TEC-CO-10001419"/>
    <x v="2"/>
    <x v="14"/>
    <x v="69"/>
    <n v="1591"/>
    <n v="6"/>
    <x v="1"/>
    <n v="47.7"/>
    <n v="132.38999999999999"/>
    <s v="Medium"/>
    <n v="2013"/>
  </r>
  <r>
    <s v="ES-2013-5080538"/>
    <x v="8"/>
    <x v="62"/>
    <s v="Second Class"/>
    <x v="71"/>
    <x v="0"/>
    <s v="Hesse"/>
    <s v="Germany"/>
    <s v="EU"/>
    <x v="2"/>
    <s v="OFF-SU-10001578"/>
    <x v="0"/>
    <x v="15"/>
    <x v="70"/>
    <n v="48"/>
    <n v="1"/>
    <x v="1"/>
    <n v="4.32"/>
    <n v="3.3"/>
    <s v="Medium"/>
    <n v="2013"/>
  </r>
  <r>
    <s v="ES-2013-4405513"/>
    <x v="53"/>
    <x v="63"/>
    <s v="Standard Class"/>
    <x v="72"/>
    <x v="2"/>
    <s v="Midi-PyrÃ©nÃ©es"/>
    <s v="France"/>
    <s v="EU"/>
    <x v="2"/>
    <s v="OFF-BI-10000440"/>
    <x v="0"/>
    <x v="0"/>
    <x v="71"/>
    <n v="121"/>
    <n v="12"/>
    <x v="1"/>
    <n v="55.44"/>
    <n v="14.91"/>
    <s v="Low"/>
    <n v="2013"/>
  </r>
  <r>
    <s v="IN-2012-51173"/>
    <x v="54"/>
    <x v="64"/>
    <s v="Standard Class"/>
    <x v="73"/>
    <x v="0"/>
    <s v="Victoria"/>
    <s v="Australia"/>
    <s v="APAC"/>
    <x v="9"/>
    <s v="TEC-MA-10003351"/>
    <x v="2"/>
    <x v="10"/>
    <x v="72"/>
    <n v="1411"/>
    <n v="9"/>
    <x v="2"/>
    <n v="486.05399999999997"/>
    <n v="213.5"/>
    <s v="High"/>
    <n v="2012"/>
  </r>
  <r>
    <s v="ES-2013-5306452"/>
    <x v="55"/>
    <x v="51"/>
    <s v="Standard Class"/>
    <x v="74"/>
    <x v="2"/>
    <s v="Veneto"/>
    <s v="Italy"/>
    <s v="EU"/>
    <x v="1"/>
    <s v="OFF-EN-10004296"/>
    <x v="0"/>
    <x v="16"/>
    <x v="73"/>
    <n v="164"/>
    <n v="4"/>
    <x v="1"/>
    <n v="63.84"/>
    <n v="11.77"/>
    <s v="Medium"/>
    <n v="2013"/>
  </r>
  <r>
    <s v="BN-2011-1530"/>
    <x v="56"/>
    <x v="65"/>
    <s v="Standard Class"/>
    <x v="75"/>
    <x v="0"/>
    <s v="Littoral"/>
    <s v="Benin"/>
    <s v="Africa"/>
    <x v="5"/>
    <s v="OFF-FIS-10004915"/>
    <x v="0"/>
    <x v="15"/>
    <x v="74"/>
    <n v="44"/>
    <n v="1"/>
    <x v="1"/>
    <n v="16.23"/>
    <n v="3.35"/>
    <s v="Medium"/>
    <n v="2011"/>
  </r>
  <r>
    <s v="ID-2014-82463"/>
    <x v="29"/>
    <x v="66"/>
    <s v="Second Class"/>
    <x v="76"/>
    <x v="2"/>
    <s v="Otago"/>
    <s v="New Zealand"/>
    <s v="APAC"/>
    <x v="9"/>
    <s v="TEC-CO-10004756"/>
    <x v="2"/>
    <x v="14"/>
    <x v="75"/>
    <n v="853"/>
    <n v="4"/>
    <x v="5"/>
    <n v="-42.695999999999998"/>
    <n v="91.22"/>
    <s v="Medium"/>
    <n v="2014"/>
  </r>
  <r>
    <s v="MX-2014-167899"/>
    <x v="33"/>
    <x v="67"/>
    <s v="Standard Class"/>
    <x v="77"/>
    <x v="1"/>
    <s v="San Pedro de MacorÃ­s"/>
    <s v="Dominican Republic"/>
    <s v="LATAM"/>
    <x v="11"/>
    <s v="TEC-AC-10004743"/>
    <x v="2"/>
    <x v="11"/>
    <x v="76"/>
    <n v="660"/>
    <n v="5"/>
    <x v="6"/>
    <n v="131.97999999999999"/>
    <n v="47.06"/>
    <s v="Medium"/>
    <n v="2014"/>
  </r>
  <r>
    <s v="ES-2013-2386093"/>
    <x v="39"/>
    <x v="68"/>
    <s v="Standard Class"/>
    <x v="78"/>
    <x v="2"/>
    <s v="England"/>
    <s v="United Kingdom"/>
    <s v="EU"/>
    <x v="6"/>
    <s v="FUR-BO-10000684"/>
    <x v="1"/>
    <x v="13"/>
    <x v="77"/>
    <n v="442"/>
    <n v="3"/>
    <x v="1"/>
    <n v="30.87"/>
    <n v="67.81"/>
    <s v="Low"/>
    <n v="2013"/>
  </r>
  <r>
    <s v="TU-2012-4890"/>
    <x v="42"/>
    <x v="69"/>
    <s v="Standard Class"/>
    <x v="79"/>
    <x v="2"/>
    <s v="Kahramanmaras"/>
    <s v="Turkey"/>
    <s v="EMEA"/>
    <x v="4"/>
    <s v="OFF-KIT-10001609"/>
    <x v="0"/>
    <x v="1"/>
    <x v="78"/>
    <n v="28"/>
    <n v="1"/>
    <x v="3"/>
    <n v="-30.312000000000001"/>
    <n v="1.49"/>
    <s v="Medium"/>
    <n v="2012"/>
  </r>
  <r>
    <s v="ES-2013-3509742"/>
    <x v="53"/>
    <x v="70"/>
    <s v="Standard Class"/>
    <x v="80"/>
    <x v="1"/>
    <s v="Marche"/>
    <s v="Italy"/>
    <s v="EU"/>
    <x v="1"/>
    <s v="OFF-PA-10003907"/>
    <x v="0"/>
    <x v="7"/>
    <x v="79"/>
    <n v="62"/>
    <n v="3"/>
    <x v="1"/>
    <n v="28.98"/>
    <n v="6.23"/>
    <s v="Medium"/>
    <n v="2013"/>
  </r>
  <r>
    <s v="CA-2012-153388"/>
    <x v="57"/>
    <x v="71"/>
    <s v="Standard Class"/>
    <x v="81"/>
    <x v="1"/>
    <s v="California"/>
    <s v="United States"/>
    <s v="US"/>
    <x v="7"/>
    <s v="OFF-AR-10001868"/>
    <x v="0"/>
    <x v="5"/>
    <x v="80"/>
    <n v="7"/>
    <n v="4"/>
    <x v="1"/>
    <n v="3.36"/>
    <n v="0.33"/>
    <s v="Medium"/>
    <n v="2012"/>
  </r>
  <r>
    <s v="ES-2014-5318878"/>
    <x v="49"/>
    <x v="72"/>
    <s v="Standard Class"/>
    <x v="82"/>
    <x v="2"/>
    <s v="Aquitaine"/>
    <s v="France"/>
    <s v="EU"/>
    <x v="2"/>
    <s v="TEC-MA-10004933"/>
    <x v="2"/>
    <x v="10"/>
    <x v="81"/>
    <n v="586"/>
    <n v="8"/>
    <x v="12"/>
    <n v="34.332000000000001"/>
    <n v="53.91"/>
    <s v="Medium"/>
    <n v="2014"/>
  </r>
  <r>
    <s v="ES-2014-2280822"/>
    <x v="58"/>
    <x v="73"/>
    <s v="Second Class"/>
    <x v="83"/>
    <x v="0"/>
    <s v="Wales"/>
    <s v="United Kingdom"/>
    <s v="EU"/>
    <x v="6"/>
    <s v="OFF-ST-10002042"/>
    <x v="0"/>
    <x v="3"/>
    <x v="82"/>
    <n v="81"/>
    <n v="3"/>
    <x v="1"/>
    <n v="18.54"/>
    <n v="5.09"/>
    <s v="High"/>
    <n v="2014"/>
  </r>
  <r>
    <s v="ID-2011-56969"/>
    <x v="59"/>
    <x v="74"/>
    <s v="Standard Class"/>
    <x v="84"/>
    <x v="2"/>
    <s v="Hubei"/>
    <s v="China"/>
    <s v="APAC"/>
    <x v="8"/>
    <s v="TEC-PH-10004281"/>
    <x v="2"/>
    <x v="9"/>
    <x v="83"/>
    <n v="1527"/>
    <n v="9"/>
    <x v="1"/>
    <n v="656.64"/>
    <n v="172.32"/>
    <s v="Medium"/>
    <n v="2011"/>
  </r>
  <r>
    <s v="ZA-2014-6660"/>
    <x v="60"/>
    <x v="75"/>
    <s v="Standard Class"/>
    <x v="85"/>
    <x v="1"/>
    <s v="Lusaka"/>
    <s v="Zambia"/>
    <s v="Africa"/>
    <x v="5"/>
    <s v="TEC-HEW-10002304"/>
    <x v="2"/>
    <x v="14"/>
    <x v="84"/>
    <n v="318"/>
    <n v="1"/>
    <x v="1"/>
    <n v="31.8"/>
    <n v="29.43"/>
    <s v="Medium"/>
    <n v="2014"/>
  </r>
  <r>
    <s v="US-2013-140494"/>
    <x v="61"/>
    <x v="76"/>
    <s v="Standard Class"/>
    <x v="86"/>
    <x v="0"/>
    <s v="Buenos Aires"/>
    <s v="Argentina"/>
    <s v="LATAM"/>
    <x v="1"/>
    <s v="OFF-BI-10001167"/>
    <x v="0"/>
    <x v="0"/>
    <x v="85"/>
    <n v="2"/>
    <n v="1"/>
    <x v="7"/>
    <n v="-3.9239999999999999"/>
    <n v="0.36"/>
    <s v="High"/>
    <n v="2013"/>
  </r>
  <r>
    <s v="CA-2012-138625"/>
    <x v="62"/>
    <x v="77"/>
    <s v="First Class"/>
    <x v="87"/>
    <x v="2"/>
    <s v="Virginia"/>
    <s v="United States"/>
    <s v="US"/>
    <x v="1"/>
    <s v="OFF-AP-10003099"/>
    <x v="0"/>
    <x v="1"/>
    <x v="86"/>
    <n v="198"/>
    <n v="4"/>
    <x v="1"/>
    <n v="55.361600000000003"/>
    <n v="40.869999999999997"/>
    <s v="Medium"/>
    <n v="2012"/>
  </r>
  <r>
    <s v="IZ-2013-230"/>
    <x v="63"/>
    <x v="78"/>
    <s v="Standard Class"/>
    <x v="88"/>
    <x v="0"/>
    <s v="Al Basrah"/>
    <s v="Iraq"/>
    <s v="EMEA"/>
    <x v="4"/>
    <s v="OFF-KIT-10002357"/>
    <x v="0"/>
    <x v="1"/>
    <x v="87"/>
    <n v="100"/>
    <n v="1"/>
    <x v="1"/>
    <n v="46.8"/>
    <n v="11.82"/>
    <s v="High"/>
    <n v="2013"/>
  </r>
  <r>
    <s v="IN-2013-42311"/>
    <x v="64"/>
    <x v="79"/>
    <s v="First Class"/>
    <x v="89"/>
    <x v="0"/>
    <s v="Tianjin"/>
    <s v="China"/>
    <s v="APAC"/>
    <x v="8"/>
    <s v="OFF-AR-10001529"/>
    <x v="0"/>
    <x v="5"/>
    <x v="88"/>
    <n v="49"/>
    <n v="4"/>
    <x v="1"/>
    <n v="14.28"/>
    <n v="11.13"/>
    <s v="High"/>
    <n v="2013"/>
  </r>
  <r>
    <s v="ES-2013-5114494"/>
    <x v="65"/>
    <x v="80"/>
    <s v="Standard Class"/>
    <x v="90"/>
    <x v="2"/>
    <s v="England"/>
    <s v="United Kingdom"/>
    <s v="EU"/>
    <x v="6"/>
    <s v="FUR-BO-10001324"/>
    <x v="1"/>
    <x v="13"/>
    <x v="89"/>
    <n v="1567"/>
    <n v="8"/>
    <x v="1"/>
    <n v="360.48"/>
    <n v="157.47"/>
    <s v="Low"/>
    <n v="2013"/>
  </r>
  <r>
    <s v="ES-2011-3525697"/>
    <x v="66"/>
    <x v="81"/>
    <s v="Standard Class"/>
    <x v="91"/>
    <x v="2"/>
    <s v="Lombardy"/>
    <s v="Italy"/>
    <s v="EU"/>
    <x v="1"/>
    <s v="OFF-ST-10000130"/>
    <x v="0"/>
    <x v="3"/>
    <x v="90"/>
    <n v="56"/>
    <n v="2"/>
    <x v="5"/>
    <n v="-0.97199999999999998"/>
    <n v="7.05"/>
    <s v="High"/>
    <n v="2011"/>
  </r>
  <r>
    <s v="ES-2013-1436499"/>
    <x v="67"/>
    <x v="82"/>
    <s v="Standard Class"/>
    <x v="92"/>
    <x v="2"/>
    <s v="RhÃ´ne-Alpes"/>
    <s v="France"/>
    <s v="EU"/>
    <x v="2"/>
    <s v="TEC-PH-10003325"/>
    <x v="2"/>
    <x v="9"/>
    <x v="91"/>
    <n v="419"/>
    <n v="4"/>
    <x v="12"/>
    <n v="-44.423999999999999"/>
    <n v="33.659999999999997"/>
    <s v="Medium"/>
    <n v="2013"/>
  </r>
  <r>
    <s v="KE-2014-4540"/>
    <x v="68"/>
    <x v="83"/>
    <s v="Standard Class"/>
    <x v="93"/>
    <x v="2"/>
    <s v="Nairobi"/>
    <s v="Kenya"/>
    <s v="Africa"/>
    <x v="5"/>
    <s v="OFF-STI-10001162"/>
    <x v="0"/>
    <x v="15"/>
    <x v="92"/>
    <n v="50"/>
    <n v="2"/>
    <x v="1"/>
    <n v="6"/>
    <n v="4.7699999999999996"/>
    <s v="Low"/>
    <n v="2014"/>
  </r>
  <r>
    <s v="IT-2011-3203475"/>
    <x v="69"/>
    <x v="84"/>
    <s v="Standard Class"/>
    <x v="94"/>
    <x v="2"/>
    <s v="North Holland"/>
    <s v="Netherlands"/>
    <s v="EU"/>
    <x v="2"/>
    <s v="FUR-FU-10001086"/>
    <x v="1"/>
    <x v="2"/>
    <x v="93"/>
    <n v="533"/>
    <n v="6"/>
    <x v="6"/>
    <n v="-0.14399999999999999"/>
    <n v="39.26"/>
    <s v="Medium"/>
    <n v="2011"/>
  </r>
  <r>
    <s v="CA-2014-138618"/>
    <x v="70"/>
    <x v="85"/>
    <s v="Standard Class"/>
    <x v="95"/>
    <x v="0"/>
    <s v="Texas"/>
    <s v="United States"/>
    <s v="US"/>
    <x v="2"/>
    <s v="OFF-PA-10000520"/>
    <x v="0"/>
    <x v="7"/>
    <x v="94"/>
    <n v="10"/>
    <n v="2"/>
    <x v="6"/>
    <n v="3.6288"/>
    <n v="0.6"/>
    <s v="Medium"/>
    <n v="2014"/>
  </r>
  <r>
    <s v="CA-2014-122539"/>
    <x v="70"/>
    <x v="86"/>
    <s v="Standard Class"/>
    <x v="96"/>
    <x v="2"/>
    <s v="Pennsylvania"/>
    <s v="United States"/>
    <s v="US"/>
    <x v="12"/>
    <s v="OFF-LA-10004853"/>
    <x v="0"/>
    <x v="4"/>
    <x v="95"/>
    <n v="16"/>
    <n v="4"/>
    <x v="6"/>
    <n v="5.1791999999999998"/>
    <n v="1.82"/>
    <s v="High"/>
    <n v="2014"/>
  </r>
  <r>
    <s v="US-2013-168074"/>
    <x v="71"/>
    <x v="87"/>
    <s v="Second Class"/>
    <x v="97"/>
    <x v="1"/>
    <s v="Lima (city)"/>
    <s v="Peru"/>
    <s v="LATAM"/>
    <x v="1"/>
    <s v="TEC-PH-10004242"/>
    <x v="2"/>
    <x v="9"/>
    <x v="96"/>
    <n v="197"/>
    <n v="4"/>
    <x v="5"/>
    <n v="-59.295999999999999"/>
    <n v="28.96"/>
    <s v="High"/>
    <n v="2013"/>
  </r>
  <r>
    <s v="ES-2014-2933395"/>
    <x v="72"/>
    <x v="75"/>
    <s v="Standard Class"/>
    <x v="98"/>
    <x v="0"/>
    <s v="Ile-de-France"/>
    <s v="France"/>
    <s v="EU"/>
    <x v="2"/>
    <s v="OFF-AR-10003651"/>
    <x v="0"/>
    <x v="5"/>
    <x v="97"/>
    <n v="163"/>
    <n v="6"/>
    <x v="1"/>
    <n v="81.180000000000007"/>
    <n v="13.37"/>
    <s v="Low"/>
    <n v="2014"/>
  </r>
  <r>
    <s v="CA-2012-104514"/>
    <x v="73"/>
    <x v="88"/>
    <s v="Second Class"/>
    <x v="99"/>
    <x v="0"/>
    <s v="Delaware"/>
    <s v="United States"/>
    <s v="US"/>
    <x v="12"/>
    <s v="OFF-AR-10001473"/>
    <x v="0"/>
    <x v="5"/>
    <x v="98"/>
    <n v="10"/>
    <n v="3"/>
    <x v="1"/>
    <n v="2.6568000000000001"/>
    <n v="2.77"/>
    <s v="Critical"/>
    <n v="2012"/>
  </r>
  <r>
    <s v="ES-2012-1663353"/>
    <x v="74"/>
    <x v="89"/>
    <s v="Second Class"/>
    <x v="100"/>
    <x v="2"/>
    <s v="England"/>
    <s v="United Kingdom"/>
    <s v="EU"/>
    <x v="6"/>
    <s v="OFF-FA-10000256"/>
    <x v="0"/>
    <x v="6"/>
    <x v="99"/>
    <n v="58"/>
    <n v="3"/>
    <x v="1"/>
    <n v="23.13"/>
    <n v="8.86"/>
    <s v="High"/>
    <n v="2012"/>
  </r>
  <r>
    <s v="ES-2011-1664904"/>
    <x v="75"/>
    <x v="90"/>
    <s v="Standard Class"/>
    <x v="12"/>
    <x v="1"/>
    <s v="Pays de la Loire"/>
    <s v="France"/>
    <s v="EU"/>
    <x v="2"/>
    <s v="OFF-BI-10000734"/>
    <x v="0"/>
    <x v="0"/>
    <x v="100"/>
    <n v="246"/>
    <n v="5"/>
    <x v="1"/>
    <n v="105.75"/>
    <n v="23.91"/>
    <s v="Medium"/>
    <n v="2011"/>
  </r>
  <r>
    <s v="MX-2014-169418"/>
    <x v="70"/>
    <x v="86"/>
    <s v="Standard Class"/>
    <x v="101"/>
    <x v="0"/>
    <s v="Guatemala"/>
    <s v="Guatemala"/>
    <s v="LATAM"/>
    <x v="2"/>
    <s v="TEC-PH-10003945"/>
    <x v="2"/>
    <x v="9"/>
    <x v="101"/>
    <n v="445"/>
    <n v="4"/>
    <x v="1"/>
    <n v="4.4000000000000004"/>
    <n v="16.23"/>
    <s v="Medium"/>
    <n v="2014"/>
  </r>
  <r>
    <s v="US-2014-150315"/>
    <x v="76"/>
    <x v="91"/>
    <s v="Standard Class"/>
    <x v="102"/>
    <x v="2"/>
    <s v="Santo Domingo"/>
    <s v="Dominican Republic"/>
    <s v="LATAM"/>
    <x v="11"/>
    <s v="FUR-CH-10004725"/>
    <x v="1"/>
    <x v="8"/>
    <x v="102"/>
    <n v="92"/>
    <n v="3"/>
    <x v="6"/>
    <n v="-3.516"/>
    <n v="7.18"/>
    <s v="Medium"/>
    <n v="2014"/>
  </r>
  <r>
    <s v="IN-2013-82554"/>
    <x v="77"/>
    <x v="82"/>
    <s v="Standard Class"/>
    <x v="103"/>
    <x v="1"/>
    <s v="Marlborough"/>
    <s v="New Zealand"/>
    <s v="APAC"/>
    <x v="9"/>
    <s v="TEC-CO-10001445"/>
    <x v="2"/>
    <x v="14"/>
    <x v="103"/>
    <n v="1129"/>
    <n v="8"/>
    <x v="1"/>
    <n v="485.28"/>
    <n v="124.57"/>
    <s v="Medium"/>
    <n v="2013"/>
  </r>
  <r>
    <s v="IN-2011-52748"/>
    <x v="78"/>
    <x v="92"/>
    <s v="Second Class"/>
    <x v="104"/>
    <x v="2"/>
    <s v="Jawa Timur"/>
    <s v="Indonesia"/>
    <s v="APAC"/>
    <x v="0"/>
    <s v="OFF-FA-10001702"/>
    <x v="0"/>
    <x v="6"/>
    <x v="104"/>
    <n v="15"/>
    <n v="2"/>
    <x v="13"/>
    <n v="0.83160000000000001"/>
    <n v="1.21"/>
    <s v="Medium"/>
    <n v="2011"/>
  </r>
  <r>
    <s v="ES-2013-2481532"/>
    <x v="67"/>
    <x v="93"/>
    <s v="Standard Class"/>
    <x v="105"/>
    <x v="1"/>
    <s v="Lombardy"/>
    <s v="Italy"/>
    <s v="EU"/>
    <x v="1"/>
    <s v="OFF-BI-10002354"/>
    <x v="0"/>
    <x v="0"/>
    <x v="105"/>
    <n v="73"/>
    <n v="5"/>
    <x v="1"/>
    <n v="24"/>
    <n v="4.78"/>
    <s v="Medium"/>
    <n v="2013"/>
  </r>
  <r>
    <s v="UZ-2012-9360"/>
    <x v="79"/>
    <x v="94"/>
    <s v="Standard Class"/>
    <x v="106"/>
    <x v="1"/>
    <s v="Namangan"/>
    <s v="Uzbekistan"/>
    <s v="EMEA"/>
    <x v="4"/>
    <s v="OFF-STO-10003021"/>
    <x v="0"/>
    <x v="6"/>
    <x v="106"/>
    <n v="52"/>
    <n v="4"/>
    <x v="1"/>
    <n v="23.28"/>
    <n v="2.42"/>
    <s v="Medium"/>
    <n v="2012"/>
  </r>
  <r>
    <s v="NI-2013-3260"/>
    <x v="80"/>
    <x v="95"/>
    <s v="Standard Class"/>
    <x v="107"/>
    <x v="2"/>
    <s v="Lagos"/>
    <s v="Nigeria"/>
    <s v="Africa"/>
    <x v="5"/>
    <s v="OFF-STO-10003021"/>
    <x v="0"/>
    <x v="6"/>
    <x v="106"/>
    <n v="4"/>
    <n v="1"/>
    <x v="7"/>
    <n v="-3.2519999999999998"/>
    <n v="0.21"/>
    <s v="Medium"/>
    <n v="2013"/>
  </r>
  <r>
    <s v="NI-2013-3260"/>
    <x v="80"/>
    <x v="95"/>
    <s v="Standard Class"/>
    <x v="107"/>
    <x v="2"/>
    <s v="Lagos"/>
    <s v="Nigeria"/>
    <s v="Africa"/>
    <x v="5"/>
    <s v="TEC-STA-10002650"/>
    <x v="2"/>
    <x v="10"/>
    <x v="107"/>
    <n v="98"/>
    <n v="2"/>
    <x v="7"/>
    <n v="-140.63999999999999"/>
    <n v="8.16"/>
    <s v="Medium"/>
    <n v="2013"/>
  </r>
  <r>
    <s v="RS-2014-7500"/>
    <x v="81"/>
    <x v="96"/>
    <s v="Second Class"/>
    <x v="108"/>
    <x v="1"/>
    <s v="Stavropol'"/>
    <s v="Russia"/>
    <s v="EMEA"/>
    <x v="4"/>
    <s v="OFF-FIS-10004915"/>
    <x v="0"/>
    <x v="15"/>
    <x v="74"/>
    <n v="88"/>
    <n v="2"/>
    <x v="1"/>
    <n v="32.46"/>
    <n v="13.06"/>
    <s v="High"/>
    <n v="2014"/>
  </r>
  <r>
    <s v="IN-2011-18959"/>
    <x v="82"/>
    <x v="97"/>
    <s v="Standard Class"/>
    <x v="109"/>
    <x v="2"/>
    <s v="Madhya Pradesh"/>
    <s v="India"/>
    <s v="APAC"/>
    <x v="3"/>
    <s v="TEC-AC-10000398"/>
    <x v="2"/>
    <x v="11"/>
    <x v="108"/>
    <n v="228"/>
    <n v="2"/>
    <x v="1"/>
    <n v="0"/>
    <n v="8.4"/>
    <s v="Medium"/>
    <n v="2011"/>
  </r>
  <r>
    <s v="CA-2012-129770"/>
    <x v="83"/>
    <x v="98"/>
    <s v="Second Class"/>
    <x v="66"/>
    <x v="2"/>
    <s v="New Mexico"/>
    <s v="United States"/>
    <s v="US"/>
    <x v="7"/>
    <s v="OFF-PA-10000249"/>
    <x v="0"/>
    <x v="7"/>
    <x v="109"/>
    <n v="49"/>
    <n v="4"/>
    <x v="1"/>
    <n v="23.086400000000001"/>
    <n v="17.59"/>
    <s v="Critical"/>
    <n v="2012"/>
  </r>
  <r>
    <s v="IN-2013-52944"/>
    <x v="71"/>
    <x v="99"/>
    <s v="Standard Class"/>
    <x v="108"/>
    <x v="1"/>
    <s v="Chittagong"/>
    <s v="Bangladesh"/>
    <s v="APAC"/>
    <x v="3"/>
    <s v="OFF-BI-10002562"/>
    <x v="0"/>
    <x v="0"/>
    <x v="110"/>
    <n v="106"/>
    <n v="2"/>
    <x v="1"/>
    <n v="43.38"/>
    <n v="22.33"/>
    <s v="Low"/>
    <n v="2013"/>
  </r>
  <r>
    <s v="TZ-2013-620"/>
    <x v="84"/>
    <x v="100"/>
    <s v="Standard Class"/>
    <x v="17"/>
    <x v="0"/>
    <s v="Kigoma"/>
    <s v="Tanzania"/>
    <s v="Africa"/>
    <x v="5"/>
    <s v="OFF-AVE-10004512"/>
    <x v="0"/>
    <x v="0"/>
    <x v="111"/>
    <n v="4"/>
    <n v="1"/>
    <x v="1"/>
    <n v="0"/>
    <n v="0.3"/>
    <s v="Medium"/>
    <n v="2013"/>
  </r>
  <r>
    <s v="TU-2013-510"/>
    <x v="85"/>
    <x v="101"/>
    <s v="Same Day"/>
    <x v="76"/>
    <x v="2"/>
    <s v="Istanbul"/>
    <s v="Turkey"/>
    <s v="EMEA"/>
    <x v="4"/>
    <s v="OFF-ROG-10004646"/>
    <x v="0"/>
    <x v="3"/>
    <x v="112"/>
    <n v="56"/>
    <n v="1"/>
    <x v="3"/>
    <n v="-83.022000000000006"/>
    <n v="14.79"/>
    <s v="Critical"/>
    <n v="2013"/>
  </r>
  <r>
    <s v="ID-2013-22459"/>
    <x v="86"/>
    <x v="102"/>
    <s v="Standard Class"/>
    <x v="110"/>
    <x v="0"/>
    <s v="Australian Capital Territory"/>
    <s v="Australia"/>
    <s v="APAC"/>
    <x v="9"/>
    <s v="FUR-CH-10000608"/>
    <x v="1"/>
    <x v="8"/>
    <x v="113"/>
    <n v="204"/>
    <n v="5"/>
    <x v="5"/>
    <n v="-10.29"/>
    <n v="13.56"/>
    <s v="Medium"/>
    <n v="2013"/>
  </r>
  <r>
    <s v="IN-2013-79929"/>
    <x v="64"/>
    <x v="103"/>
    <s v="Standard Class"/>
    <x v="111"/>
    <x v="2"/>
    <s v="New South Wales"/>
    <s v="Australia"/>
    <s v="APAC"/>
    <x v="9"/>
    <s v="OFF-PA-10004815"/>
    <x v="0"/>
    <x v="7"/>
    <x v="114"/>
    <n v="166"/>
    <n v="7"/>
    <x v="2"/>
    <n v="36.771000000000001"/>
    <n v="9.01"/>
    <s v="Medium"/>
    <n v="2013"/>
  </r>
  <r>
    <s v="CA-2012-132374"/>
    <x v="87"/>
    <x v="104"/>
    <s v="Second Class"/>
    <x v="112"/>
    <x v="1"/>
    <s v="Michigan"/>
    <s v="United States"/>
    <s v="US"/>
    <x v="2"/>
    <s v="OFF-AR-10001615"/>
    <x v="0"/>
    <x v="5"/>
    <x v="115"/>
    <n v="79"/>
    <n v="4"/>
    <x v="1"/>
    <n v="20.633600000000001"/>
    <n v="5.95"/>
    <s v="High"/>
    <n v="2012"/>
  </r>
  <r>
    <s v="CA-2012-157322"/>
    <x v="88"/>
    <x v="105"/>
    <s v="Standard Class"/>
    <x v="113"/>
    <x v="2"/>
    <s v="Illinois"/>
    <s v="United States"/>
    <s v="US"/>
    <x v="2"/>
    <s v="OFF-ST-10004507"/>
    <x v="0"/>
    <x v="3"/>
    <x v="116"/>
    <n v="69"/>
    <n v="5"/>
    <x v="6"/>
    <n v="6.0025000000000004"/>
    <n v="3.69"/>
    <s v="Medium"/>
    <n v="2012"/>
  </r>
  <r>
    <s v="US-2012-169222"/>
    <x v="89"/>
    <x v="106"/>
    <s v="Standard Class"/>
    <x v="114"/>
    <x v="2"/>
    <s v="Panama"/>
    <s v="Panama"/>
    <s v="LATAM"/>
    <x v="2"/>
    <s v="FUR-CH-10004652"/>
    <x v="1"/>
    <x v="8"/>
    <x v="117"/>
    <n v="51"/>
    <n v="3"/>
    <x v="5"/>
    <n v="-12.816000000000001"/>
    <n v="4.37"/>
    <s v="Medium"/>
    <n v="2012"/>
  </r>
  <r>
    <s v="MX-2012-140767"/>
    <x v="90"/>
    <x v="107"/>
    <s v="Standard Class"/>
    <x v="115"/>
    <x v="1"/>
    <s v="SÃ£o Paulo"/>
    <s v="Brazil"/>
    <s v="LATAM"/>
    <x v="1"/>
    <s v="TEC-AC-10000376"/>
    <x v="2"/>
    <x v="11"/>
    <x v="118"/>
    <n v="821"/>
    <n v="5"/>
    <x v="1"/>
    <n v="352.9"/>
    <n v="52.51"/>
    <s v="Medium"/>
    <n v="2012"/>
  </r>
  <r>
    <s v="CA-2013-164784"/>
    <x v="91"/>
    <x v="108"/>
    <s v="First Class"/>
    <x v="116"/>
    <x v="2"/>
    <s v="Tennessee"/>
    <s v="United States"/>
    <s v="US"/>
    <x v="1"/>
    <s v="FUR-TA-10004534"/>
    <x v="1"/>
    <x v="12"/>
    <x v="119"/>
    <n v="371"/>
    <n v="3"/>
    <x v="5"/>
    <n v="-142.071"/>
    <n v="91.58"/>
    <s v="Medium"/>
    <n v="2013"/>
  </r>
  <r>
    <s v="MX-2011-144883"/>
    <x v="82"/>
    <x v="17"/>
    <s v="Standard Class"/>
    <x v="117"/>
    <x v="0"/>
    <s v="GuantÃ¡namo"/>
    <s v="Cuba"/>
    <s v="LATAM"/>
    <x v="11"/>
    <s v="OFF-BI-10000070"/>
    <x v="0"/>
    <x v="0"/>
    <x v="120"/>
    <n v="37"/>
    <n v="2"/>
    <x v="1"/>
    <n v="13.16"/>
    <n v="4.25"/>
    <s v="Medium"/>
    <n v="2011"/>
  </r>
  <r>
    <s v="TZ-2013-140"/>
    <x v="61"/>
    <x v="109"/>
    <s v="Standard Class"/>
    <x v="113"/>
    <x v="2"/>
    <s v="Dar Es Salaam"/>
    <s v="Tanzania"/>
    <s v="Africa"/>
    <x v="5"/>
    <s v="TEC-MEM-10003743"/>
    <x v="2"/>
    <x v="11"/>
    <x v="121"/>
    <n v="45"/>
    <n v="1"/>
    <x v="1"/>
    <n v="13.56"/>
    <n v="3.06"/>
    <s v="Medium"/>
    <n v="2013"/>
  </r>
  <r>
    <s v="IN-2013-21038"/>
    <x v="85"/>
    <x v="110"/>
    <s v="First Class"/>
    <x v="118"/>
    <x v="2"/>
    <s v="Guangdong"/>
    <s v="China"/>
    <s v="APAC"/>
    <x v="8"/>
    <s v="TEC-PH-10002320"/>
    <x v="2"/>
    <x v="9"/>
    <x v="122"/>
    <n v="374"/>
    <n v="3"/>
    <x v="1"/>
    <n v="18.63"/>
    <n v="70.930000000000007"/>
    <s v="Critical"/>
    <n v="2013"/>
  </r>
  <r>
    <s v="ES-2014-2280822"/>
    <x v="58"/>
    <x v="73"/>
    <s v="Second Class"/>
    <x v="83"/>
    <x v="0"/>
    <s v="Wales"/>
    <s v="United Kingdom"/>
    <s v="EU"/>
    <x v="6"/>
    <s v="OFF-ST-10002271"/>
    <x v="0"/>
    <x v="3"/>
    <x v="123"/>
    <n v="184"/>
    <n v="3"/>
    <x v="1"/>
    <n v="56.88"/>
    <n v="23.77"/>
    <s v="High"/>
    <n v="2014"/>
  </r>
  <r>
    <s v="US-2012-141250"/>
    <x v="73"/>
    <x v="111"/>
    <s v="Standard Class"/>
    <x v="119"/>
    <x v="0"/>
    <s v="CortÃ©s"/>
    <s v="Honduras"/>
    <s v="LATAM"/>
    <x v="2"/>
    <s v="FUR-TA-10000245"/>
    <x v="1"/>
    <x v="12"/>
    <x v="124"/>
    <n v="178"/>
    <n v="2"/>
    <x v="7"/>
    <n v="-154.512"/>
    <n v="28.41"/>
    <s v="High"/>
    <n v="2012"/>
  </r>
  <r>
    <s v="MX-2013-128160"/>
    <x v="61"/>
    <x v="47"/>
    <s v="Second Class"/>
    <x v="120"/>
    <x v="0"/>
    <s v="Central"/>
    <s v="Paraguay"/>
    <s v="LATAM"/>
    <x v="1"/>
    <s v="FUR-FU-10004139"/>
    <x v="1"/>
    <x v="2"/>
    <x v="125"/>
    <n v="104"/>
    <n v="3"/>
    <x v="1"/>
    <n v="39.42"/>
    <n v="14.11"/>
    <s v="High"/>
    <n v="2013"/>
  </r>
  <r>
    <s v="CA-2013-168956"/>
    <x v="92"/>
    <x v="112"/>
    <s v="Standard Class"/>
    <x v="121"/>
    <x v="0"/>
    <s v="Illinois"/>
    <s v="United States"/>
    <s v="US"/>
    <x v="2"/>
    <s v="OFF-FA-10000304"/>
    <x v="0"/>
    <x v="6"/>
    <x v="126"/>
    <n v="7"/>
    <n v="4"/>
    <x v="6"/>
    <n v="1.8311999999999999"/>
    <n v="0.21"/>
    <s v="Medium"/>
    <n v="2013"/>
  </r>
  <r>
    <s v="ID-2014-33638"/>
    <x v="58"/>
    <x v="113"/>
    <s v="Standard Class"/>
    <x v="122"/>
    <x v="1"/>
    <s v="National Capital"/>
    <s v="Philippines"/>
    <s v="APAC"/>
    <x v="0"/>
    <s v="TEC-CO-10002316"/>
    <x v="2"/>
    <x v="14"/>
    <x v="127"/>
    <n v="743"/>
    <n v="8"/>
    <x v="14"/>
    <n v="-114.492"/>
    <n v="55.15"/>
    <s v="Medium"/>
    <n v="2014"/>
  </r>
  <r>
    <s v="TU-2011-9940"/>
    <x v="66"/>
    <x v="81"/>
    <s v="Second Class"/>
    <x v="123"/>
    <x v="2"/>
    <s v="Ankara"/>
    <s v="Turkey"/>
    <s v="EMEA"/>
    <x v="4"/>
    <s v="FUR-BAR-10004553"/>
    <x v="1"/>
    <x v="12"/>
    <x v="128"/>
    <n v="126"/>
    <n v="1"/>
    <x v="3"/>
    <n v="-161.11199999999999"/>
    <n v="11.34"/>
    <s v="Medium"/>
    <n v="2011"/>
  </r>
  <r>
    <s v="CA-2012-157322"/>
    <x v="88"/>
    <x v="105"/>
    <s v="Standard Class"/>
    <x v="113"/>
    <x v="2"/>
    <s v="Illinois"/>
    <s v="United States"/>
    <s v="US"/>
    <x v="2"/>
    <s v="OFF-ST-10003208"/>
    <x v="0"/>
    <x v="3"/>
    <x v="129"/>
    <n v="436"/>
    <n v="3"/>
    <x v="6"/>
    <n v="48.994199999999999"/>
    <n v="23.32"/>
    <s v="Medium"/>
    <n v="2012"/>
  </r>
  <r>
    <s v="TU-2013-3100"/>
    <x v="77"/>
    <x v="114"/>
    <s v="Standard Class"/>
    <x v="76"/>
    <x v="2"/>
    <s v="Kayseri"/>
    <s v="Turkey"/>
    <s v="EMEA"/>
    <x v="4"/>
    <s v="OFF-TEN-10003127"/>
    <x v="0"/>
    <x v="3"/>
    <x v="31"/>
    <n v="14"/>
    <n v="2"/>
    <x v="3"/>
    <n v="-4.4160000000000004"/>
    <n v="2.09"/>
    <s v="High"/>
    <n v="2013"/>
  </r>
  <r>
    <s v="CA-2014-124940"/>
    <x v="93"/>
    <x v="83"/>
    <s v="Standard Class"/>
    <x v="124"/>
    <x v="2"/>
    <s v="Texas"/>
    <s v="United States"/>
    <s v="US"/>
    <x v="2"/>
    <s v="TEC-AC-10002076"/>
    <x v="2"/>
    <x v="11"/>
    <x v="130"/>
    <n v="48"/>
    <n v="1"/>
    <x v="6"/>
    <n v="-2.9940000000000002"/>
    <n v="2.09"/>
    <s v="Medium"/>
    <n v="2014"/>
  </r>
  <r>
    <s v="EZ-2014-8460"/>
    <x v="58"/>
    <x v="115"/>
    <s v="Standard Class"/>
    <x v="125"/>
    <x v="1"/>
    <s v="Prague"/>
    <s v="Czech Republic"/>
    <s v="EMEA"/>
    <x v="4"/>
    <s v="OFF-ROG-10002818"/>
    <x v="0"/>
    <x v="3"/>
    <x v="131"/>
    <n v="373"/>
    <n v="6"/>
    <x v="1"/>
    <n v="149.04"/>
    <n v="37.479999999999997"/>
    <s v="Medium"/>
    <n v="2014"/>
  </r>
  <r>
    <s v="US-2014-129126"/>
    <x v="94"/>
    <x v="116"/>
    <s v="Standard Class"/>
    <x v="126"/>
    <x v="2"/>
    <s v="CortÃ©s"/>
    <s v="Honduras"/>
    <s v="LATAM"/>
    <x v="2"/>
    <s v="OFF-ST-10004330"/>
    <x v="0"/>
    <x v="3"/>
    <x v="132"/>
    <n v="35"/>
    <n v="5"/>
    <x v="5"/>
    <n v="4.04"/>
    <n v="3.82"/>
    <s v="High"/>
    <n v="2014"/>
  </r>
  <r>
    <s v="IN-2014-83919"/>
    <x v="95"/>
    <x v="117"/>
    <s v="Standard Class"/>
    <x v="127"/>
    <x v="2"/>
    <s v="New South Wales"/>
    <s v="Australia"/>
    <s v="APAC"/>
    <x v="9"/>
    <s v="TEC-AC-10002389"/>
    <x v="2"/>
    <x v="11"/>
    <x v="133"/>
    <n v="162"/>
    <n v="4"/>
    <x v="1"/>
    <n v="38.880000000000003"/>
    <n v="17.600000000000001"/>
    <s v="Medium"/>
    <n v="2014"/>
  </r>
  <r>
    <s v="TU-2013-510"/>
    <x v="85"/>
    <x v="101"/>
    <s v="Same Day"/>
    <x v="76"/>
    <x v="2"/>
    <s v="Istanbul"/>
    <s v="Turkey"/>
    <s v="EMEA"/>
    <x v="4"/>
    <s v="OFF-CAR-10004886"/>
    <x v="0"/>
    <x v="0"/>
    <x v="134"/>
    <n v="33"/>
    <n v="6"/>
    <x v="3"/>
    <n v="-19.187999999999999"/>
    <n v="3.57"/>
    <s v="Critical"/>
    <n v="2013"/>
  </r>
  <r>
    <s v="NI-2014-8530"/>
    <x v="96"/>
    <x v="118"/>
    <s v="Same Day"/>
    <x v="128"/>
    <x v="1"/>
    <s v="Oyo"/>
    <s v="Nigeria"/>
    <s v="Africa"/>
    <x v="5"/>
    <s v="OFF-NOV-10004680"/>
    <x v="0"/>
    <x v="4"/>
    <x v="135"/>
    <n v="20"/>
    <n v="6"/>
    <x v="7"/>
    <n v="-17.135999999999999"/>
    <n v="1.1499999999999999"/>
    <s v="Medium"/>
    <n v="2014"/>
  </r>
  <r>
    <s v="CA-2014-151176"/>
    <x v="97"/>
    <x v="119"/>
    <s v="Standard Class"/>
    <x v="129"/>
    <x v="2"/>
    <s v="Maryland"/>
    <s v="United States"/>
    <s v="US"/>
    <x v="12"/>
    <s v="OFF-SU-10001165"/>
    <x v="0"/>
    <x v="15"/>
    <x v="136"/>
    <n v="25"/>
    <n v="3"/>
    <x v="1"/>
    <n v="6.5052000000000003"/>
    <n v="2.6"/>
    <s v="Medium"/>
    <n v="2014"/>
  </r>
  <r>
    <s v="IN-2014-37117"/>
    <x v="98"/>
    <x v="120"/>
    <s v="Standard Class"/>
    <x v="130"/>
    <x v="2"/>
    <s v="Queensland"/>
    <s v="Australia"/>
    <s v="APAC"/>
    <x v="9"/>
    <s v="TEC-AC-10001840"/>
    <x v="2"/>
    <x v="11"/>
    <x v="137"/>
    <n v="195"/>
    <n v="6"/>
    <x v="2"/>
    <n v="36.828000000000003"/>
    <n v="12.18"/>
    <s v="Medium"/>
    <n v="2014"/>
  </r>
  <r>
    <s v="CA-2011-157721"/>
    <x v="78"/>
    <x v="121"/>
    <s v="First Class"/>
    <x v="131"/>
    <x v="2"/>
    <s v="New York"/>
    <s v="United States"/>
    <s v="US"/>
    <x v="12"/>
    <s v="FUR-FU-10002116"/>
    <x v="1"/>
    <x v="2"/>
    <x v="138"/>
    <n v="71"/>
    <n v="1"/>
    <x v="1"/>
    <n v="4.9497"/>
    <n v="12.46"/>
    <s v="High"/>
    <n v="2011"/>
  </r>
  <r>
    <s v="ID-2013-61736"/>
    <x v="99"/>
    <x v="122"/>
    <s v="First Class"/>
    <x v="81"/>
    <x v="1"/>
    <s v="Sulawesi Utara"/>
    <s v="Indonesia"/>
    <s v="APAC"/>
    <x v="0"/>
    <s v="TEC-AC-10003753"/>
    <x v="2"/>
    <x v="11"/>
    <x v="139"/>
    <n v="137"/>
    <n v="1"/>
    <x v="13"/>
    <n v="-74.779499999999999"/>
    <n v="32.28"/>
    <s v="Critical"/>
    <n v="2013"/>
  </r>
  <r>
    <s v="CA-2014-145233"/>
    <x v="70"/>
    <x v="86"/>
    <s v="Standard Class"/>
    <x v="132"/>
    <x v="2"/>
    <s v="Colorado"/>
    <s v="United States"/>
    <s v="US"/>
    <x v="7"/>
    <s v="TEC-PH-10001254"/>
    <x v="2"/>
    <x v="9"/>
    <x v="140"/>
    <n v="406"/>
    <n v="4"/>
    <x v="6"/>
    <n v="30.477599999999999"/>
    <n v="33.64"/>
    <s v="Medium"/>
    <n v="2014"/>
  </r>
  <r>
    <s v="IN-2013-28759"/>
    <x v="99"/>
    <x v="123"/>
    <s v="First Class"/>
    <x v="133"/>
    <x v="0"/>
    <s v="Chongqing"/>
    <s v="China"/>
    <s v="APAC"/>
    <x v="8"/>
    <s v="OFF-PA-10003899"/>
    <x v="0"/>
    <x v="7"/>
    <x v="141"/>
    <n v="51"/>
    <n v="3"/>
    <x v="1"/>
    <n v="17.28"/>
    <n v="12.95"/>
    <s v="High"/>
    <n v="2013"/>
  </r>
  <r>
    <s v="SF-2011-6380"/>
    <x v="100"/>
    <x v="124"/>
    <s v="First Class"/>
    <x v="134"/>
    <x v="1"/>
    <s v="Gauteng"/>
    <s v="South Africa"/>
    <s v="Africa"/>
    <x v="5"/>
    <s v="OFF-SME-10000746"/>
    <x v="0"/>
    <x v="3"/>
    <x v="142"/>
    <n v="2785"/>
    <n v="14"/>
    <x v="1"/>
    <n v="779.52"/>
    <n v="422.25"/>
    <s v="Critical"/>
    <n v="2011"/>
  </r>
  <r>
    <s v="ES-2013-1650308"/>
    <x v="84"/>
    <x v="55"/>
    <s v="Standard Class"/>
    <x v="135"/>
    <x v="0"/>
    <s v="Ile-de-France"/>
    <s v="France"/>
    <s v="EU"/>
    <x v="2"/>
    <s v="OFF-AP-10003221"/>
    <x v="0"/>
    <x v="1"/>
    <x v="143"/>
    <n v="1339"/>
    <n v="3"/>
    <x v="2"/>
    <n v="223.23599999999999"/>
    <n v="50.42"/>
    <s v="Medium"/>
    <n v="2013"/>
  </r>
  <r>
    <s v="AG-2014-6650"/>
    <x v="101"/>
    <x v="125"/>
    <s v="Standard Class"/>
    <x v="136"/>
    <x v="0"/>
    <s v="Djelfa"/>
    <s v="Algeria"/>
    <s v="Africa"/>
    <x v="5"/>
    <s v="OFF-STA-10003756"/>
    <x v="0"/>
    <x v="5"/>
    <x v="144"/>
    <n v="44"/>
    <n v="1"/>
    <x v="1"/>
    <n v="14.64"/>
    <n v="1.5"/>
    <s v="Medium"/>
    <n v="2014"/>
  </r>
  <r>
    <s v="CA-2014-121559"/>
    <x v="102"/>
    <x v="126"/>
    <s v="Second Class"/>
    <x v="137"/>
    <x v="0"/>
    <s v="Indiana"/>
    <s v="United States"/>
    <s v="US"/>
    <x v="2"/>
    <s v="OFF-AP-10002945"/>
    <x v="0"/>
    <x v="1"/>
    <x v="145"/>
    <n v="2405"/>
    <n v="8"/>
    <x v="1"/>
    <n v="793.71600000000001"/>
    <n v="252"/>
    <s v="High"/>
    <n v="2014"/>
  </r>
  <r>
    <s v="SA-2011-7130"/>
    <x v="78"/>
    <x v="92"/>
    <s v="Standard Class"/>
    <x v="14"/>
    <x v="1"/>
    <s v="Makkah"/>
    <s v="Saudi Arabia"/>
    <s v="EMEA"/>
    <x v="4"/>
    <s v="FUR-RUB-10001717"/>
    <x v="1"/>
    <x v="2"/>
    <x v="146"/>
    <n v="98"/>
    <n v="2"/>
    <x v="1"/>
    <n v="4.8600000000000003"/>
    <n v="7.01"/>
    <s v="Medium"/>
    <n v="2011"/>
  </r>
  <r>
    <s v="IS-2014-420"/>
    <x v="103"/>
    <x v="127"/>
    <s v="Second Class"/>
    <x v="138"/>
    <x v="0"/>
    <s v="Tel Aviv"/>
    <s v="Israel"/>
    <s v="EMEA"/>
    <x v="4"/>
    <s v="OFF-HOO-10002920"/>
    <x v="0"/>
    <x v="1"/>
    <x v="147"/>
    <n v="568"/>
    <n v="1"/>
    <x v="1"/>
    <n v="45.42"/>
    <n v="39.15"/>
    <s v="Medium"/>
    <n v="2014"/>
  </r>
  <r>
    <s v="US-2013-102379"/>
    <x v="77"/>
    <x v="114"/>
    <s v="Standard Class"/>
    <x v="139"/>
    <x v="0"/>
    <s v="La Romana"/>
    <s v="Dominican Republic"/>
    <s v="LATAM"/>
    <x v="11"/>
    <s v="FUR-FU-10001371"/>
    <x v="1"/>
    <x v="2"/>
    <x v="148"/>
    <n v="34"/>
    <n v="4"/>
    <x v="4"/>
    <n v="-10.199999999999999"/>
    <n v="3.4"/>
    <s v="Medium"/>
    <n v="2013"/>
  </r>
  <r>
    <s v="IN-2011-43599"/>
    <x v="66"/>
    <x v="81"/>
    <s v="Standard Class"/>
    <x v="140"/>
    <x v="0"/>
    <s v="Uttar Pradesh"/>
    <s v="India"/>
    <s v="APAC"/>
    <x v="3"/>
    <s v="OFF-ST-10003017"/>
    <x v="0"/>
    <x v="3"/>
    <x v="31"/>
    <n v="51"/>
    <n v="3"/>
    <x v="1"/>
    <n v="7.56"/>
    <n v="3.21"/>
    <s v="Medium"/>
    <n v="2011"/>
  </r>
  <r>
    <s v="IN-2012-64494"/>
    <x v="73"/>
    <x v="128"/>
    <s v="Standard Class"/>
    <x v="141"/>
    <x v="1"/>
    <s v="Karnataka"/>
    <s v="India"/>
    <s v="APAC"/>
    <x v="3"/>
    <s v="TEC-AC-10003570"/>
    <x v="2"/>
    <x v="11"/>
    <x v="149"/>
    <n v="245"/>
    <n v="9"/>
    <x v="1"/>
    <n v="65.88"/>
    <n v="24.56"/>
    <s v="High"/>
    <n v="2012"/>
  </r>
  <r>
    <s v="ES-2013-3894596"/>
    <x v="80"/>
    <x v="82"/>
    <s v="Same Day"/>
    <x v="142"/>
    <x v="0"/>
    <s v="Madrid"/>
    <s v="Spain"/>
    <s v="EU"/>
    <x v="1"/>
    <s v="FUR-FU-10000972"/>
    <x v="1"/>
    <x v="2"/>
    <x v="150"/>
    <n v="439"/>
    <n v="9"/>
    <x v="1"/>
    <n v="219.51"/>
    <n v="67.44"/>
    <s v="High"/>
    <n v="2013"/>
  </r>
  <r>
    <s v="ES-2012-2332844"/>
    <x v="104"/>
    <x v="129"/>
    <s v="Standard Class"/>
    <x v="143"/>
    <x v="2"/>
    <s v="England"/>
    <s v="United Kingdom"/>
    <s v="EU"/>
    <x v="6"/>
    <s v="OFF-BI-10004328"/>
    <x v="0"/>
    <x v="0"/>
    <x v="151"/>
    <n v="98"/>
    <n v="4"/>
    <x v="4"/>
    <n v="-27.48"/>
    <n v="7.92"/>
    <s v="Medium"/>
    <n v="2012"/>
  </r>
  <r>
    <s v="MX-2014-106432"/>
    <x v="105"/>
    <x v="1"/>
    <s v="Standard Class"/>
    <x v="144"/>
    <x v="2"/>
    <s v="La Libertad"/>
    <s v="El Salvador"/>
    <s v="LATAM"/>
    <x v="2"/>
    <s v="TEC-CO-10002998"/>
    <x v="2"/>
    <x v="14"/>
    <x v="152"/>
    <n v="166"/>
    <n v="2"/>
    <x v="9"/>
    <n v="49.428240000000002"/>
    <n v="6.34"/>
    <s v="High"/>
    <n v="2014"/>
  </r>
  <r>
    <s v="ES-2012-2694947"/>
    <x v="106"/>
    <x v="130"/>
    <s v="Standard Class"/>
    <x v="145"/>
    <x v="2"/>
    <s v="Bavaria"/>
    <s v="Germany"/>
    <s v="EU"/>
    <x v="2"/>
    <s v="TEC-AC-10003415"/>
    <x v="2"/>
    <x v="11"/>
    <x v="153"/>
    <n v="1779"/>
    <n v="7"/>
    <x v="1"/>
    <n v="711.48"/>
    <n v="157.69"/>
    <s v="High"/>
    <n v="2012"/>
  </r>
  <r>
    <s v="ES-2014-2057259"/>
    <x v="81"/>
    <x v="96"/>
    <s v="First Class"/>
    <x v="146"/>
    <x v="2"/>
    <s v="Provence-Alpes-CÃ´te d'Azur"/>
    <s v="France"/>
    <s v="EU"/>
    <x v="2"/>
    <s v="OFF-PA-10002616"/>
    <x v="0"/>
    <x v="7"/>
    <x v="154"/>
    <n v="109"/>
    <n v="6"/>
    <x v="1"/>
    <n v="34.56"/>
    <n v="11.76"/>
    <s v="Medium"/>
    <n v="2014"/>
  </r>
  <r>
    <s v="NI-2011-7830"/>
    <x v="107"/>
    <x v="131"/>
    <s v="First Class"/>
    <x v="147"/>
    <x v="2"/>
    <s v="Rivers"/>
    <s v="Nigeria"/>
    <s v="Africa"/>
    <x v="5"/>
    <s v="TEC-SHA-10000971"/>
    <x v="2"/>
    <x v="14"/>
    <x v="155"/>
    <n v="178"/>
    <n v="2"/>
    <x v="7"/>
    <n v="-368.40600000000001"/>
    <n v="62.43"/>
    <s v="High"/>
    <n v="2011"/>
  </r>
  <r>
    <s v="IN-2014-26470"/>
    <x v="108"/>
    <x v="132"/>
    <s v="Standard Class"/>
    <x v="148"/>
    <x v="2"/>
    <s v="Yunnan"/>
    <s v="China"/>
    <s v="APAC"/>
    <x v="8"/>
    <s v="OFF-EN-10000968"/>
    <x v="0"/>
    <x v="16"/>
    <x v="156"/>
    <n v="36"/>
    <n v="1"/>
    <x v="1"/>
    <n v="4.71"/>
    <n v="1"/>
    <s v="Medium"/>
    <n v="2014"/>
  </r>
  <r>
    <s v="ID-2014-24363"/>
    <x v="98"/>
    <x v="120"/>
    <s v="Standard Class"/>
    <x v="149"/>
    <x v="2"/>
    <s v="Yangon"/>
    <s v="Myanmar (Burma)"/>
    <s v="APAC"/>
    <x v="0"/>
    <s v="TEC-AC-10003989"/>
    <x v="2"/>
    <x v="11"/>
    <x v="157"/>
    <n v="274"/>
    <n v="9"/>
    <x v="13"/>
    <n v="-67.354200000000006"/>
    <n v="19.86"/>
    <s v="Medium"/>
    <n v="2014"/>
  </r>
  <r>
    <s v="CG-2011-6250"/>
    <x v="100"/>
    <x v="133"/>
    <s v="Standard Class"/>
    <x v="150"/>
    <x v="2"/>
    <s v="Kinshasa"/>
    <s v="Democratic Republic of the Congo"/>
    <s v="Africa"/>
    <x v="5"/>
    <s v="OFF-GRE-10002561"/>
    <x v="0"/>
    <x v="7"/>
    <x v="158"/>
    <n v="95"/>
    <n v="4"/>
    <x v="1"/>
    <n v="9.48"/>
    <n v="6.19"/>
    <s v="Medium"/>
    <n v="2011"/>
  </r>
  <r>
    <s v="ID-2013-86243"/>
    <x v="109"/>
    <x v="134"/>
    <s v="Standard Class"/>
    <x v="151"/>
    <x v="1"/>
    <s v="Auckland"/>
    <s v="New Zealand"/>
    <s v="APAC"/>
    <x v="9"/>
    <s v="OFF-LA-10002486"/>
    <x v="0"/>
    <x v="4"/>
    <x v="159"/>
    <n v="31"/>
    <n v="6"/>
    <x v="5"/>
    <n v="-15.696"/>
    <n v="2.42"/>
    <s v="Medium"/>
    <n v="2013"/>
  </r>
  <r>
    <s v="TZ-2014-9930"/>
    <x v="94"/>
    <x v="135"/>
    <s v="Second Class"/>
    <x v="133"/>
    <x v="0"/>
    <s v="Mbeya"/>
    <s v="Tanzania"/>
    <s v="Africa"/>
    <x v="5"/>
    <s v="OFF-GLO-10002315"/>
    <x v="0"/>
    <x v="16"/>
    <x v="160"/>
    <n v="48"/>
    <n v="1"/>
    <x v="1"/>
    <n v="10.98"/>
    <n v="3"/>
    <s v="Medium"/>
    <n v="2014"/>
  </r>
  <r>
    <s v="ID-2013-72936"/>
    <x v="61"/>
    <x v="68"/>
    <s v="Standard Class"/>
    <x v="152"/>
    <x v="0"/>
    <s v="Jawa Tengah"/>
    <s v="Indonesia"/>
    <s v="APAC"/>
    <x v="0"/>
    <s v="OFF-FA-10002388"/>
    <x v="0"/>
    <x v="6"/>
    <x v="161"/>
    <n v="13"/>
    <n v="2"/>
    <x v="13"/>
    <n v="-10.111800000000001"/>
    <n v="1.63"/>
    <s v="High"/>
    <n v="2013"/>
  </r>
  <r>
    <s v="EG-2014-1540"/>
    <x v="110"/>
    <x v="136"/>
    <s v="Standard Class"/>
    <x v="91"/>
    <x v="2"/>
    <s v="Al Qahirah"/>
    <s v="Egypt"/>
    <s v="Africa"/>
    <x v="5"/>
    <s v="FUR-SAF-10000593"/>
    <x v="1"/>
    <x v="8"/>
    <x v="162"/>
    <n v="62"/>
    <n v="1"/>
    <x v="1"/>
    <n v="13.68"/>
    <n v="3.22"/>
    <s v="Medium"/>
    <n v="2014"/>
  </r>
  <r>
    <s v="SF-2014-3260"/>
    <x v="111"/>
    <x v="137"/>
    <s v="Standard Class"/>
    <x v="153"/>
    <x v="2"/>
    <s v="Gauteng"/>
    <s v="South Africa"/>
    <s v="Africa"/>
    <x v="5"/>
    <s v="TEC-BRO-10002103"/>
    <x v="2"/>
    <x v="14"/>
    <x v="163"/>
    <n v="1487"/>
    <n v="10"/>
    <x v="1"/>
    <n v="728.7"/>
    <n v="202.49"/>
    <s v="High"/>
    <n v="2014"/>
  </r>
  <r>
    <s v="CA-2014-140949"/>
    <x v="110"/>
    <x v="138"/>
    <s v="Second Class"/>
    <x v="154"/>
    <x v="2"/>
    <s v="New York"/>
    <s v="United States"/>
    <s v="US"/>
    <x v="12"/>
    <s v="OFF-LA-10000081"/>
    <x v="0"/>
    <x v="4"/>
    <x v="164"/>
    <n v="19"/>
    <n v="5"/>
    <x v="1"/>
    <n v="9"/>
    <n v="1.04"/>
    <s v="Medium"/>
    <n v="2014"/>
  </r>
  <r>
    <s v="US-2011-104759"/>
    <x v="112"/>
    <x v="139"/>
    <s v="Standard Class"/>
    <x v="155"/>
    <x v="2"/>
    <s v="Illinois"/>
    <s v="United States"/>
    <s v="US"/>
    <x v="2"/>
    <s v="TEC-AC-10004901"/>
    <x v="2"/>
    <x v="11"/>
    <x v="165"/>
    <n v="80"/>
    <n v="2"/>
    <x v="6"/>
    <n v="13.997199999999999"/>
    <n v="9.0299999999999994"/>
    <s v="High"/>
    <n v="2011"/>
  </r>
  <r>
    <s v="IT-2012-5960351"/>
    <x v="113"/>
    <x v="140"/>
    <s v="Standard Class"/>
    <x v="45"/>
    <x v="1"/>
    <s v="Ile-de-France"/>
    <s v="France"/>
    <s v="EU"/>
    <x v="2"/>
    <s v="OFF-SU-10003632"/>
    <x v="0"/>
    <x v="15"/>
    <x v="166"/>
    <n v="32"/>
    <n v="1"/>
    <x v="1"/>
    <n v="8.91"/>
    <n v="4.57"/>
    <s v="High"/>
    <n v="2012"/>
  </r>
  <r>
    <s v="ID-2013-86299"/>
    <x v="114"/>
    <x v="141"/>
    <s v="Second Class"/>
    <x v="156"/>
    <x v="1"/>
    <s v="Auckland"/>
    <s v="New Zealand"/>
    <s v="APAC"/>
    <x v="9"/>
    <s v="FUR-TA-10003006"/>
    <x v="1"/>
    <x v="12"/>
    <x v="167"/>
    <n v="635"/>
    <n v="2"/>
    <x v="5"/>
    <n v="-84.66"/>
    <n v="71.349999999999994"/>
    <s v="High"/>
    <n v="2013"/>
  </r>
  <r>
    <s v="SF-2014-840"/>
    <x v="115"/>
    <x v="142"/>
    <s v="Second Class"/>
    <x v="157"/>
    <x v="2"/>
    <s v="Kwazulu-natal"/>
    <s v="South Africa"/>
    <s v="Africa"/>
    <x v="5"/>
    <s v="OFF-AVE-10000608"/>
    <x v="0"/>
    <x v="0"/>
    <x v="168"/>
    <n v="16"/>
    <n v="2"/>
    <x v="1"/>
    <n v="6.42"/>
    <n v="3.18"/>
    <s v="High"/>
    <n v="2014"/>
  </r>
  <r>
    <s v="IN-2014-65194"/>
    <x v="116"/>
    <x v="143"/>
    <s v="Second Class"/>
    <x v="158"/>
    <x v="2"/>
    <s v="Bihar"/>
    <s v="India"/>
    <s v="APAC"/>
    <x v="3"/>
    <s v="TEC-AC-10003640"/>
    <x v="2"/>
    <x v="11"/>
    <x v="169"/>
    <n v="318"/>
    <n v="8"/>
    <x v="1"/>
    <n v="6.24"/>
    <n v="43.88"/>
    <s v="Medium"/>
    <n v="2014"/>
  </r>
  <r>
    <s v="IN-2013-65075"/>
    <x v="117"/>
    <x v="144"/>
    <s v="Standard Class"/>
    <x v="159"/>
    <x v="2"/>
    <s v="Punjab"/>
    <s v="India"/>
    <s v="APAC"/>
    <x v="3"/>
    <s v="OFF-ST-10000752"/>
    <x v="0"/>
    <x v="3"/>
    <x v="170"/>
    <n v="136"/>
    <n v="1"/>
    <x v="1"/>
    <n v="55.89"/>
    <n v="7.8"/>
    <s v="Medium"/>
    <n v="2013"/>
  </r>
  <r>
    <s v="MX-2011-131996"/>
    <x v="118"/>
    <x v="145"/>
    <s v="Standard Class"/>
    <x v="10"/>
    <x v="0"/>
    <s v="HolguÃ­n"/>
    <s v="Cuba"/>
    <s v="LATAM"/>
    <x v="11"/>
    <s v="OFF-AR-10002486"/>
    <x v="0"/>
    <x v="5"/>
    <x v="171"/>
    <n v="77"/>
    <n v="4"/>
    <x v="1"/>
    <n v="22.4"/>
    <n v="10.39"/>
    <s v="High"/>
    <n v="2011"/>
  </r>
  <r>
    <s v="IN-2014-19120"/>
    <x v="119"/>
    <x v="138"/>
    <s v="Second Class"/>
    <x v="160"/>
    <x v="2"/>
    <s v="Rajasthan"/>
    <s v="India"/>
    <s v="APAC"/>
    <x v="3"/>
    <s v="TEC-AC-10004334"/>
    <x v="2"/>
    <x v="11"/>
    <x v="172"/>
    <n v="245"/>
    <n v="1"/>
    <x v="1"/>
    <n v="85.77"/>
    <n v="19.88"/>
    <s v="Medium"/>
    <n v="2014"/>
  </r>
  <r>
    <s v="IN-2014-75855"/>
    <x v="119"/>
    <x v="136"/>
    <s v="Second Class"/>
    <x v="161"/>
    <x v="2"/>
    <s v="Shanghai"/>
    <s v="China"/>
    <s v="APAC"/>
    <x v="8"/>
    <s v="OFF-AR-10002340"/>
    <x v="0"/>
    <x v="5"/>
    <x v="173"/>
    <n v="228"/>
    <n v="9"/>
    <x v="1"/>
    <n v="43.2"/>
    <n v="28.62"/>
    <s v="High"/>
    <n v="2014"/>
  </r>
  <r>
    <s v="IN-2011-59510"/>
    <x v="120"/>
    <x v="146"/>
    <s v="Standard Class"/>
    <x v="53"/>
    <x v="2"/>
    <s v="Uttar Pradesh"/>
    <s v="India"/>
    <s v="APAC"/>
    <x v="3"/>
    <s v="OFF-EN-10001975"/>
    <x v="0"/>
    <x v="16"/>
    <x v="174"/>
    <n v="49"/>
    <n v="3"/>
    <x v="1"/>
    <n v="6.39"/>
    <n v="3.09"/>
    <s v="Medium"/>
    <n v="2011"/>
  </r>
  <r>
    <s v="CA-2014-127782"/>
    <x v="121"/>
    <x v="147"/>
    <s v="Standard Class"/>
    <x v="162"/>
    <x v="0"/>
    <s v="Pennsylvania"/>
    <s v="United States"/>
    <s v="US"/>
    <x v="12"/>
    <s v="OFF-EN-10003845"/>
    <x v="0"/>
    <x v="16"/>
    <x v="175"/>
    <n v="9"/>
    <n v="3"/>
    <x v="6"/>
    <n v="2.8782000000000001"/>
    <n v="0.5"/>
    <s v="Medium"/>
    <n v="2014"/>
  </r>
  <r>
    <s v="CA-2014-137414"/>
    <x v="111"/>
    <x v="137"/>
    <s v="Standard Class"/>
    <x v="163"/>
    <x v="2"/>
    <s v="California"/>
    <s v="United States"/>
    <s v="US"/>
    <x v="7"/>
    <s v="FUR-FU-10001424"/>
    <x v="1"/>
    <x v="2"/>
    <x v="176"/>
    <n v="17"/>
    <n v="2"/>
    <x v="1"/>
    <n v="5.9363999999999999"/>
    <n v="1.31"/>
    <s v="Medium"/>
    <n v="2014"/>
  </r>
  <r>
    <s v="IN-2013-26519"/>
    <x v="122"/>
    <x v="148"/>
    <s v="First Class"/>
    <x v="151"/>
    <x v="1"/>
    <s v="New South Wales"/>
    <s v="Australia"/>
    <s v="APAC"/>
    <x v="9"/>
    <s v="TEC-PH-10003348"/>
    <x v="2"/>
    <x v="9"/>
    <x v="177"/>
    <n v="374"/>
    <n v="3"/>
    <x v="2"/>
    <n v="128.73599999999999"/>
    <n v="27.09"/>
    <s v="Medium"/>
    <n v="2013"/>
  </r>
  <r>
    <s v="IN-2013-86061"/>
    <x v="123"/>
    <x v="149"/>
    <s v="Second Class"/>
    <x v="164"/>
    <x v="2"/>
    <s v="Australian Capital Territory"/>
    <s v="Australia"/>
    <s v="APAC"/>
    <x v="9"/>
    <s v="OFF-BI-10002775"/>
    <x v="0"/>
    <x v="0"/>
    <x v="178"/>
    <n v="6"/>
    <n v="1"/>
    <x v="1"/>
    <n v="0.69"/>
    <n v="0.8"/>
    <s v="Medium"/>
    <n v="2013"/>
  </r>
  <r>
    <s v="SF-2012-3840"/>
    <x v="124"/>
    <x v="150"/>
    <s v="Standard Class"/>
    <x v="165"/>
    <x v="2"/>
    <s v="Eastern Cape"/>
    <s v="South Africa"/>
    <s v="Africa"/>
    <x v="5"/>
    <s v="TEC-APP-10004912"/>
    <x v="2"/>
    <x v="9"/>
    <x v="179"/>
    <n v="123"/>
    <n v="1"/>
    <x v="1"/>
    <n v="30.81"/>
    <n v="2.58"/>
    <s v="Medium"/>
    <n v="2012"/>
  </r>
  <r>
    <s v="ES-2012-3898439"/>
    <x v="125"/>
    <x v="151"/>
    <s v="Standard Class"/>
    <x v="166"/>
    <x v="0"/>
    <s v="North Rhine-Westphalia"/>
    <s v="Germany"/>
    <s v="EU"/>
    <x v="2"/>
    <s v="OFF-ST-10004296"/>
    <x v="0"/>
    <x v="3"/>
    <x v="180"/>
    <n v="32"/>
    <n v="2"/>
    <x v="2"/>
    <n v="4.6260000000000003"/>
    <n v="1.51"/>
    <s v="Medium"/>
    <n v="2012"/>
  </r>
  <r>
    <s v="ZI-2013-9260"/>
    <x v="126"/>
    <x v="152"/>
    <s v="First Class"/>
    <x v="167"/>
    <x v="0"/>
    <s v="Harare"/>
    <s v="Zimbabwe"/>
    <s v="Africa"/>
    <x v="5"/>
    <s v="OFF-ACC-10004748"/>
    <x v="0"/>
    <x v="6"/>
    <x v="181"/>
    <n v="4"/>
    <n v="1"/>
    <x v="7"/>
    <n v="-5.3250000000000002"/>
    <n v="1.22"/>
    <s v="Critical"/>
    <n v="2013"/>
  </r>
  <r>
    <s v="IT-2014-1075109"/>
    <x v="127"/>
    <x v="153"/>
    <s v="Standard Class"/>
    <x v="168"/>
    <x v="1"/>
    <s v="Catalonia"/>
    <s v="Spain"/>
    <s v="EU"/>
    <x v="1"/>
    <s v="OFF-ST-10002800"/>
    <x v="0"/>
    <x v="3"/>
    <x v="182"/>
    <n v="85"/>
    <n v="4"/>
    <x v="2"/>
    <n v="-9.48"/>
    <n v="5.23"/>
    <s v="Low"/>
    <n v="2014"/>
  </r>
  <r>
    <s v="EG-2014-460"/>
    <x v="115"/>
    <x v="1"/>
    <s v="Standard Class"/>
    <x v="169"/>
    <x v="2"/>
    <s v="Al Qahirah"/>
    <s v="Egypt"/>
    <s v="Africa"/>
    <x v="5"/>
    <s v="TEC-SAN-10004721"/>
    <x v="2"/>
    <x v="11"/>
    <x v="183"/>
    <n v="111"/>
    <n v="2"/>
    <x v="1"/>
    <n v="17.7"/>
    <n v="13"/>
    <s v="High"/>
    <n v="2014"/>
  </r>
  <r>
    <s v="NI-2014-7110"/>
    <x v="128"/>
    <x v="154"/>
    <s v="Standard Class"/>
    <x v="146"/>
    <x v="2"/>
    <s v="Lagos"/>
    <s v="Nigeria"/>
    <s v="Africa"/>
    <x v="5"/>
    <s v="OFF-HAR-10000187"/>
    <x v="0"/>
    <x v="4"/>
    <x v="184"/>
    <n v="4"/>
    <n v="1"/>
    <x v="7"/>
    <n v="-2.544"/>
    <n v="0.41"/>
    <s v="High"/>
    <n v="2014"/>
  </r>
  <r>
    <s v="EG-2012-4640"/>
    <x v="129"/>
    <x v="150"/>
    <s v="First Class"/>
    <x v="170"/>
    <x v="2"/>
    <s v="Al Qahirah"/>
    <s v="Egypt"/>
    <s v="Africa"/>
    <x v="5"/>
    <s v="OFF-ACC-10002849"/>
    <x v="0"/>
    <x v="0"/>
    <x v="185"/>
    <n v="30"/>
    <n v="1"/>
    <x v="1"/>
    <n v="5.01"/>
    <n v="6.6"/>
    <s v="Critical"/>
    <n v="2012"/>
  </r>
  <r>
    <s v="ES-2014-5842530"/>
    <x v="130"/>
    <x v="155"/>
    <s v="First Class"/>
    <x v="171"/>
    <x v="0"/>
    <s v="England"/>
    <s v="United Kingdom"/>
    <s v="EU"/>
    <x v="6"/>
    <s v="FUR-BO-10000490"/>
    <x v="1"/>
    <x v="13"/>
    <x v="49"/>
    <n v="2292"/>
    <n v="7"/>
    <x v="2"/>
    <n v="127.134"/>
    <n v="448.91"/>
    <s v="High"/>
    <n v="2014"/>
  </r>
  <r>
    <s v="ES-2014-4794612"/>
    <x v="131"/>
    <x v="156"/>
    <s v="Standard Class"/>
    <x v="172"/>
    <x v="0"/>
    <s v="Ile-de-France"/>
    <s v="France"/>
    <s v="EU"/>
    <x v="2"/>
    <s v="OFF-AR-10000711"/>
    <x v="0"/>
    <x v="5"/>
    <x v="186"/>
    <n v="102"/>
    <n v="7"/>
    <x v="1"/>
    <n v="22.26"/>
    <n v="5.0199999999999996"/>
    <s v="Medium"/>
    <n v="2014"/>
  </r>
  <r>
    <s v="MX-2013-109771"/>
    <x v="132"/>
    <x v="157"/>
    <s v="Standard Class"/>
    <x v="173"/>
    <x v="2"/>
    <s v="Buenos Aires"/>
    <s v="Argentina"/>
    <s v="LATAM"/>
    <x v="1"/>
    <s v="OFF-BI-10003975"/>
    <x v="0"/>
    <x v="0"/>
    <x v="187"/>
    <n v="3"/>
    <n v="2"/>
    <x v="7"/>
    <n v="-3.0720000000000001"/>
    <n v="0.3"/>
    <s v="Medium"/>
    <n v="2013"/>
  </r>
  <r>
    <s v="CA-2013-127138"/>
    <x v="133"/>
    <x v="158"/>
    <s v="Second Class"/>
    <x v="174"/>
    <x v="0"/>
    <s v="California"/>
    <s v="United States"/>
    <s v="US"/>
    <x v="7"/>
    <s v="OFF-AP-10003842"/>
    <x v="0"/>
    <x v="1"/>
    <x v="188"/>
    <n v="155"/>
    <n v="5"/>
    <x v="1"/>
    <n v="40.274000000000001"/>
    <n v="6.36"/>
    <s v="Medium"/>
    <n v="2013"/>
  </r>
  <r>
    <s v="ES-2011-5610862"/>
    <x v="134"/>
    <x v="159"/>
    <s v="First Class"/>
    <x v="82"/>
    <x v="2"/>
    <s v="North Rhine-Westphalia"/>
    <s v="Germany"/>
    <s v="EU"/>
    <x v="2"/>
    <s v="OFF-SU-10004230"/>
    <x v="0"/>
    <x v="15"/>
    <x v="189"/>
    <n v="38"/>
    <n v="2"/>
    <x v="1"/>
    <n v="3"/>
    <n v="7.73"/>
    <s v="Critical"/>
    <n v="2011"/>
  </r>
  <r>
    <s v="IS-2011-7290"/>
    <x v="118"/>
    <x v="160"/>
    <s v="Standard Class"/>
    <x v="175"/>
    <x v="2"/>
    <s v="Haifa"/>
    <s v="Israel"/>
    <s v="EMEA"/>
    <x v="4"/>
    <s v="FUR-NOV-10000123"/>
    <x v="1"/>
    <x v="8"/>
    <x v="190"/>
    <n v="263"/>
    <n v="2"/>
    <x v="1"/>
    <n v="47.28"/>
    <n v="18.36"/>
    <s v="Medium"/>
    <n v="2011"/>
  </r>
  <r>
    <s v="US-2013-125675"/>
    <x v="135"/>
    <x v="141"/>
    <s v="Standard Class"/>
    <x v="176"/>
    <x v="2"/>
    <s v="Pernambuco"/>
    <s v="Brazil"/>
    <s v="LATAM"/>
    <x v="1"/>
    <s v="OFF-BI-10002510"/>
    <x v="0"/>
    <x v="0"/>
    <x v="191"/>
    <n v="4"/>
    <n v="2"/>
    <x v="3"/>
    <n v="-1.952"/>
    <n v="0.11"/>
    <s v="Medium"/>
    <n v="2013"/>
  </r>
  <r>
    <s v="ES-2014-5474746"/>
    <x v="128"/>
    <x v="161"/>
    <s v="Same Day"/>
    <x v="177"/>
    <x v="2"/>
    <s v="Valenciana"/>
    <s v="Spain"/>
    <s v="EU"/>
    <x v="1"/>
    <s v="OFF-BI-10002674"/>
    <x v="0"/>
    <x v="0"/>
    <x v="192"/>
    <n v="25"/>
    <n v="2"/>
    <x v="1"/>
    <n v="11.1"/>
    <n v="1.05"/>
    <s v="High"/>
    <n v="2014"/>
  </r>
  <r>
    <s v="SO-2012-2390"/>
    <x v="136"/>
    <x v="162"/>
    <s v="Second Class"/>
    <x v="178"/>
    <x v="1"/>
    <s v="Banaadir"/>
    <s v="Somalia"/>
    <s v="Africa"/>
    <x v="5"/>
    <s v="TEC-SAM-10004384"/>
    <x v="2"/>
    <x v="9"/>
    <x v="193"/>
    <n v="65"/>
    <n v="1"/>
    <x v="1"/>
    <n v="18.93"/>
    <n v="11.5"/>
    <s v="High"/>
    <n v="2012"/>
  </r>
  <r>
    <s v="UP-2012-110"/>
    <x v="137"/>
    <x v="163"/>
    <s v="First Class"/>
    <x v="179"/>
    <x v="2"/>
    <s v="Kharkiv"/>
    <s v="Ukraine"/>
    <s v="EMEA"/>
    <x v="4"/>
    <s v="TEC-STA-10004542"/>
    <x v="2"/>
    <x v="10"/>
    <x v="194"/>
    <n v="80"/>
    <n v="2"/>
    <x v="1"/>
    <n v="12"/>
    <n v="10.26"/>
    <s v="Medium"/>
    <n v="2012"/>
  </r>
  <r>
    <s v="ES-2011-1406120"/>
    <x v="138"/>
    <x v="164"/>
    <s v="Same Day"/>
    <x v="180"/>
    <x v="0"/>
    <s v="Hamburg"/>
    <s v="Germany"/>
    <s v="EU"/>
    <x v="2"/>
    <s v="TEC-PH-10000160"/>
    <x v="2"/>
    <x v="9"/>
    <x v="195"/>
    <n v="3228"/>
    <n v="5"/>
    <x v="1"/>
    <n v="742.35"/>
    <n v="244.67"/>
    <s v="Medium"/>
    <n v="2011"/>
  </r>
  <r>
    <s v="MX-2014-136539"/>
    <x v="110"/>
    <x v="136"/>
    <s v="Standard Class"/>
    <x v="181"/>
    <x v="0"/>
    <s v="San Salvador"/>
    <s v="El Salvador"/>
    <s v="LATAM"/>
    <x v="2"/>
    <s v="OFF-SU-10002323"/>
    <x v="0"/>
    <x v="15"/>
    <x v="196"/>
    <n v="93"/>
    <n v="3"/>
    <x v="1"/>
    <n v="0"/>
    <n v="6.26"/>
    <s v="High"/>
    <n v="2014"/>
  </r>
  <r>
    <s v="CA-2014-161172"/>
    <x v="139"/>
    <x v="165"/>
    <s v="Same Day"/>
    <x v="182"/>
    <x v="2"/>
    <s v="Ohio"/>
    <s v="United States"/>
    <s v="US"/>
    <x v="12"/>
    <s v="TEC-AC-10004571"/>
    <x v="2"/>
    <x v="11"/>
    <x v="197"/>
    <n v="160"/>
    <n v="2"/>
    <x v="6"/>
    <n v="43.995600000000003"/>
    <n v="20.48"/>
    <s v="High"/>
    <n v="2014"/>
  </r>
  <r>
    <s v="MX-2013-146318"/>
    <x v="140"/>
    <x v="166"/>
    <s v="Standard Class"/>
    <x v="151"/>
    <x v="1"/>
    <s v="Cundinamarca"/>
    <s v="Colombia"/>
    <s v="LATAM"/>
    <x v="1"/>
    <s v="OFF-BI-10003653"/>
    <x v="0"/>
    <x v="0"/>
    <x v="198"/>
    <n v="39"/>
    <n v="2"/>
    <x v="1"/>
    <n v="10.96"/>
    <n v="2.83"/>
    <s v="Medium"/>
    <n v="2013"/>
  </r>
  <r>
    <s v="CA-2013-1880"/>
    <x v="132"/>
    <x v="167"/>
    <s v="Standard Class"/>
    <x v="183"/>
    <x v="2"/>
    <s v="Quebec"/>
    <s v="Canada"/>
    <s v="Canada"/>
    <x v="10"/>
    <s v="OFF-FEL-10004224"/>
    <x v="0"/>
    <x v="3"/>
    <x v="199"/>
    <n v="56"/>
    <n v="1"/>
    <x v="1"/>
    <n v="14.1"/>
    <n v="7.68"/>
    <s v="High"/>
    <n v="2013"/>
  </r>
  <r>
    <s v="ES-2011-5083176"/>
    <x v="141"/>
    <x v="168"/>
    <s v="Standard Class"/>
    <x v="184"/>
    <x v="0"/>
    <s v="Basel-Stadt"/>
    <s v="Switzerland"/>
    <s v="EU"/>
    <x v="2"/>
    <s v="OFF-AR-10003031"/>
    <x v="0"/>
    <x v="5"/>
    <x v="200"/>
    <n v="26"/>
    <n v="2"/>
    <x v="1"/>
    <n v="0.48"/>
    <n v="1.52"/>
    <s v="Medium"/>
    <n v="2011"/>
  </r>
  <r>
    <s v="MX-2012-147823"/>
    <x v="142"/>
    <x v="169"/>
    <s v="Standard Class"/>
    <x v="182"/>
    <x v="2"/>
    <s v="SÃ£o Paulo"/>
    <s v="Brazil"/>
    <s v="LATAM"/>
    <x v="1"/>
    <s v="TEC-CO-10001589"/>
    <x v="2"/>
    <x v="14"/>
    <x v="201"/>
    <n v="1516"/>
    <n v="6"/>
    <x v="9"/>
    <n v="680.60136"/>
    <n v="118.62"/>
    <s v="Medium"/>
    <n v="2012"/>
  </r>
  <r>
    <s v="US-2014-123281"/>
    <x v="130"/>
    <x v="170"/>
    <s v="Standard Class"/>
    <x v="185"/>
    <x v="2"/>
    <s v="California"/>
    <s v="United States"/>
    <s v="US"/>
    <x v="7"/>
    <s v="FUR-FU-10003724"/>
    <x v="1"/>
    <x v="2"/>
    <x v="202"/>
    <n v="25"/>
    <n v="3"/>
    <x v="1"/>
    <n v="6.5286"/>
    <n v="0.96"/>
    <s v="Medium"/>
    <n v="2014"/>
  </r>
  <r>
    <s v="US-2014-123484"/>
    <x v="143"/>
    <x v="153"/>
    <s v="Standard Class"/>
    <x v="186"/>
    <x v="2"/>
    <s v="Ouest"/>
    <s v="Haiti"/>
    <s v="LATAM"/>
    <x v="11"/>
    <s v="OFF-BI-10003883"/>
    <x v="0"/>
    <x v="0"/>
    <x v="203"/>
    <n v="85"/>
    <n v="14"/>
    <x v="5"/>
    <n v="-14.28"/>
    <n v="5.31"/>
    <s v="Medium"/>
    <n v="2014"/>
  </r>
  <r>
    <s v="US-2011-120236"/>
    <x v="144"/>
    <x v="171"/>
    <s v="First Class"/>
    <x v="187"/>
    <x v="1"/>
    <s v="Texas"/>
    <s v="United States"/>
    <s v="US"/>
    <x v="2"/>
    <s v="OFF-BI-10004099"/>
    <x v="0"/>
    <x v="0"/>
    <x v="204"/>
    <n v="8"/>
    <n v="5"/>
    <x v="15"/>
    <n v="-11.52"/>
    <n v="1.43"/>
    <s v="High"/>
    <n v="2011"/>
  </r>
  <r>
    <s v="ID-2013-24643"/>
    <x v="145"/>
    <x v="172"/>
    <s v="Standard Class"/>
    <x v="188"/>
    <x v="2"/>
    <s v="Jawa Timur"/>
    <s v="Indonesia"/>
    <s v="APAC"/>
    <x v="0"/>
    <s v="OFF-AP-10002239"/>
    <x v="0"/>
    <x v="1"/>
    <x v="205"/>
    <n v="204"/>
    <n v="3"/>
    <x v="0"/>
    <n v="36.772199999999998"/>
    <n v="21.33"/>
    <s v="High"/>
    <n v="2013"/>
  </r>
  <r>
    <s v="CA-2014-101308"/>
    <x v="111"/>
    <x v="0"/>
    <s v="Standard Class"/>
    <x v="156"/>
    <x v="1"/>
    <s v="Washington"/>
    <s v="United States"/>
    <s v="US"/>
    <x v="7"/>
    <s v="TEC-PH-10003800"/>
    <x v="2"/>
    <x v="9"/>
    <x v="206"/>
    <n v="85"/>
    <n v="2"/>
    <x v="6"/>
    <n v="-20.136199999999999"/>
    <n v="6.78"/>
    <s v="High"/>
    <n v="2014"/>
  </r>
  <r>
    <s v="IN-2013-51712"/>
    <x v="146"/>
    <x v="102"/>
    <s v="Standard Class"/>
    <x v="189"/>
    <x v="0"/>
    <s v="New South Wales"/>
    <s v="Australia"/>
    <s v="APAC"/>
    <x v="9"/>
    <s v="OFF-EN-10003231"/>
    <x v="0"/>
    <x v="16"/>
    <x v="207"/>
    <n v="158"/>
    <n v="9"/>
    <x v="2"/>
    <n v="15.66"/>
    <n v="22.63"/>
    <s v="High"/>
    <n v="2013"/>
  </r>
  <r>
    <s v="IN-2011-49129"/>
    <x v="141"/>
    <x v="168"/>
    <s v="Standard Class"/>
    <x v="190"/>
    <x v="2"/>
    <s v="Andhra Pradesh"/>
    <s v="India"/>
    <s v="APAC"/>
    <x v="3"/>
    <s v="OFF-EN-10004550"/>
    <x v="0"/>
    <x v="16"/>
    <x v="208"/>
    <n v="93"/>
    <n v="2"/>
    <x v="1"/>
    <n v="29.82"/>
    <n v="11.52"/>
    <s v="High"/>
    <n v="2011"/>
  </r>
  <r>
    <s v="IR-2011-6250"/>
    <x v="147"/>
    <x v="57"/>
    <s v="Second Class"/>
    <x v="191"/>
    <x v="2"/>
    <s v="Qom"/>
    <s v="Iran"/>
    <s v="EMEA"/>
    <x v="4"/>
    <s v="OFF-STA-10003756"/>
    <x v="0"/>
    <x v="5"/>
    <x v="144"/>
    <n v="267"/>
    <n v="6"/>
    <x v="1"/>
    <n v="87.84"/>
    <n v="32.24"/>
    <s v="Medium"/>
    <n v="2011"/>
  </r>
  <r>
    <s v="CA-2011-149958"/>
    <x v="148"/>
    <x v="173"/>
    <s v="Standard Class"/>
    <x v="3"/>
    <x v="2"/>
    <s v="Florida"/>
    <s v="United States"/>
    <s v="US"/>
    <x v="1"/>
    <s v="OFF-BI-10001543"/>
    <x v="0"/>
    <x v="0"/>
    <x v="209"/>
    <n v="43"/>
    <n v="4"/>
    <x v="7"/>
    <n v="-31.671199999999999"/>
    <n v="5.01"/>
    <s v="High"/>
    <n v="2011"/>
  </r>
  <r>
    <s v="RO-2011-6490"/>
    <x v="149"/>
    <x v="174"/>
    <s v="Standard Class"/>
    <x v="192"/>
    <x v="2"/>
    <s v="Iasi"/>
    <s v="Romania"/>
    <s v="EMEA"/>
    <x v="4"/>
    <s v="TEC-KON-10002034"/>
    <x v="2"/>
    <x v="10"/>
    <x v="210"/>
    <n v="489"/>
    <n v="4"/>
    <x v="1"/>
    <n v="97.8"/>
    <n v="36.03"/>
    <s v="Medium"/>
    <n v="2011"/>
  </r>
  <r>
    <s v="ID-2013-55961"/>
    <x v="132"/>
    <x v="175"/>
    <s v="First Class"/>
    <x v="157"/>
    <x v="2"/>
    <s v="Jakarta"/>
    <s v="Indonesia"/>
    <s v="APAC"/>
    <x v="0"/>
    <s v="OFF-SU-10001066"/>
    <x v="0"/>
    <x v="15"/>
    <x v="211"/>
    <n v="31"/>
    <n v="2"/>
    <x v="13"/>
    <n v="-22.5534"/>
    <n v="6.74"/>
    <s v="High"/>
    <n v="2013"/>
  </r>
  <r>
    <s v="ES-2012-3239309"/>
    <x v="124"/>
    <x v="150"/>
    <s v="Second Class"/>
    <x v="193"/>
    <x v="2"/>
    <s v="England"/>
    <s v="United Kingdom"/>
    <s v="EU"/>
    <x v="6"/>
    <s v="TEC-MA-10001569"/>
    <x v="2"/>
    <x v="10"/>
    <x v="212"/>
    <n v="504"/>
    <n v="6"/>
    <x v="1"/>
    <n v="110.88"/>
    <n v="39.799999999999997"/>
    <s v="Medium"/>
    <n v="2012"/>
  </r>
  <r>
    <s v="IR-2013-8790"/>
    <x v="123"/>
    <x v="176"/>
    <s v="Standard Class"/>
    <x v="194"/>
    <x v="2"/>
    <s v="Yazd"/>
    <s v="Iran"/>
    <s v="EMEA"/>
    <x v="4"/>
    <s v="OFF-CAR-10003030"/>
    <x v="0"/>
    <x v="0"/>
    <x v="213"/>
    <n v="9"/>
    <n v="1"/>
    <x v="1"/>
    <n v="4.0199999999999996"/>
    <n v="0.17"/>
    <s v="Medium"/>
    <n v="2013"/>
  </r>
  <r>
    <s v="CA-2011-128237"/>
    <x v="150"/>
    <x v="159"/>
    <s v="Standard Class"/>
    <x v="195"/>
    <x v="2"/>
    <s v="California"/>
    <s v="United States"/>
    <s v="US"/>
    <x v="7"/>
    <s v="TEC-AC-10002558"/>
    <x v="2"/>
    <x v="11"/>
    <x v="214"/>
    <n v="45"/>
    <n v="4"/>
    <x v="1"/>
    <n v="15.917999999999999"/>
    <n v="1.95"/>
    <s v="Medium"/>
    <n v="2011"/>
  </r>
  <r>
    <s v="ES-2012-4007496"/>
    <x v="124"/>
    <x v="150"/>
    <s v="Second Class"/>
    <x v="196"/>
    <x v="1"/>
    <s v="RhÃ´ne-Alpes"/>
    <s v="France"/>
    <s v="EU"/>
    <x v="2"/>
    <s v="OFF-FA-10003730"/>
    <x v="0"/>
    <x v="6"/>
    <x v="215"/>
    <n v="53"/>
    <n v="4"/>
    <x v="1"/>
    <n v="13.08"/>
    <n v="4.91"/>
    <s v="Medium"/>
    <n v="2012"/>
  </r>
  <r>
    <s v="MO-2013-2020"/>
    <x v="140"/>
    <x v="177"/>
    <s v="Standard Class"/>
    <x v="197"/>
    <x v="1"/>
    <s v="Grand Casablanca"/>
    <s v="Morocco"/>
    <s v="Africa"/>
    <x v="5"/>
    <s v="OFF-AVE-10000608"/>
    <x v="0"/>
    <x v="0"/>
    <x v="168"/>
    <n v="94"/>
    <n v="12"/>
    <x v="1"/>
    <n v="38.520000000000003"/>
    <n v="6.76"/>
    <s v="Medium"/>
    <n v="2013"/>
  </r>
  <r>
    <s v="ZI-2013-9260"/>
    <x v="126"/>
    <x v="152"/>
    <s v="First Class"/>
    <x v="167"/>
    <x v="0"/>
    <s v="Harare"/>
    <s v="Zimbabwe"/>
    <s v="Africa"/>
    <x v="5"/>
    <s v="OFF-BIC-10004557"/>
    <x v="0"/>
    <x v="5"/>
    <x v="216"/>
    <n v="64"/>
    <n v="4"/>
    <x v="7"/>
    <n v="-133.19999999999999"/>
    <n v="11.57"/>
    <s v="Critical"/>
    <n v="2013"/>
  </r>
  <r>
    <s v="ES-2011-2132896"/>
    <x v="151"/>
    <x v="178"/>
    <s v="Second Class"/>
    <x v="198"/>
    <x v="0"/>
    <s v="Bremen"/>
    <s v="Germany"/>
    <s v="EU"/>
    <x v="2"/>
    <s v="TEC-MA-10003856"/>
    <x v="2"/>
    <x v="10"/>
    <x v="217"/>
    <n v="99"/>
    <n v="2"/>
    <x v="1"/>
    <n v="28.62"/>
    <n v="17.350000000000001"/>
    <s v="High"/>
    <n v="2011"/>
  </r>
  <r>
    <s v="MX-2014-135055"/>
    <x v="111"/>
    <x v="179"/>
    <s v="Same Day"/>
    <x v="199"/>
    <x v="2"/>
    <s v="Tamaulipas"/>
    <s v="Mexico"/>
    <s v="LATAM"/>
    <x v="6"/>
    <s v="OFF-BI-10000325"/>
    <x v="0"/>
    <x v="0"/>
    <x v="218"/>
    <n v="23"/>
    <n v="3"/>
    <x v="1"/>
    <n v="1.38"/>
    <n v="1.55"/>
    <s v="Medium"/>
    <n v="2014"/>
  </r>
  <r>
    <s v="RO-2012-9720"/>
    <x v="152"/>
    <x v="150"/>
    <s v="First Class"/>
    <x v="200"/>
    <x v="2"/>
    <s v="Arges"/>
    <s v="Romania"/>
    <s v="EMEA"/>
    <x v="4"/>
    <s v="OFF-BOS-10004950"/>
    <x v="0"/>
    <x v="5"/>
    <x v="219"/>
    <n v="15"/>
    <n v="1"/>
    <x v="1"/>
    <n v="2.61"/>
    <n v="3.06"/>
    <s v="High"/>
    <n v="2012"/>
  </r>
  <r>
    <s v="ES-2013-5616549"/>
    <x v="153"/>
    <x v="180"/>
    <s v="Second Class"/>
    <x v="201"/>
    <x v="2"/>
    <s v="North Rhine-Westphalia"/>
    <s v="Germany"/>
    <s v="EU"/>
    <x v="2"/>
    <s v="OFF-PA-10000961"/>
    <x v="0"/>
    <x v="7"/>
    <x v="220"/>
    <n v="83"/>
    <n v="5"/>
    <x v="1"/>
    <n v="2.4"/>
    <n v="19.670000000000002"/>
    <s v="Critical"/>
    <n v="2013"/>
  </r>
  <r>
    <s v="CA-2012-110632"/>
    <x v="154"/>
    <x v="181"/>
    <s v="Second Class"/>
    <x v="202"/>
    <x v="0"/>
    <s v="New York"/>
    <s v="United States"/>
    <s v="US"/>
    <x v="12"/>
    <s v="OFF-ST-10001291"/>
    <x v="0"/>
    <x v="3"/>
    <x v="221"/>
    <n v="34"/>
    <n v="2"/>
    <x v="1"/>
    <n v="9.1313999999999993"/>
    <n v="3.43"/>
    <s v="Medium"/>
    <n v="2012"/>
  </r>
  <r>
    <s v="MX-2013-117506"/>
    <x v="117"/>
    <x v="141"/>
    <s v="Second Class"/>
    <x v="148"/>
    <x v="2"/>
    <s v="EspÃ­rito Santo"/>
    <s v="Brazil"/>
    <s v="LATAM"/>
    <x v="1"/>
    <s v="OFF-ST-10002538"/>
    <x v="0"/>
    <x v="3"/>
    <x v="222"/>
    <n v="284"/>
    <n v="3"/>
    <x v="1"/>
    <n v="113.64"/>
    <n v="10.72"/>
    <s v="Medium"/>
    <n v="2013"/>
  </r>
  <r>
    <s v="IZ-2014-7340"/>
    <x v="139"/>
    <x v="182"/>
    <s v="First Class"/>
    <x v="134"/>
    <x v="1"/>
    <s v="Baghdad"/>
    <s v="Iraq"/>
    <s v="EMEA"/>
    <x v="4"/>
    <s v="FUR-ELD-10003179"/>
    <x v="1"/>
    <x v="2"/>
    <x v="223"/>
    <n v="55"/>
    <n v="1"/>
    <x v="1"/>
    <n v="18.72"/>
    <n v="11.86"/>
    <s v="High"/>
    <n v="2014"/>
  </r>
  <r>
    <s v="IR-2011-7690"/>
    <x v="155"/>
    <x v="183"/>
    <s v="Second Class"/>
    <x v="203"/>
    <x v="0"/>
    <s v="Razavi Khorasan"/>
    <s v="Iran"/>
    <s v="EMEA"/>
    <x v="4"/>
    <s v="OFF-BIC-10000582"/>
    <x v="0"/>
    <x v="5"/>
    <x v="29"/>
    <n v="52"/>
    <n v="1"/>
    <x v="1"/>
    <n v="7.77"/>
    <n v="5.91"/>
    <s v="High"/>
    <n v="2011"/>
  </r>
  <r>
    <s v="IN-2014-44110"/>
    <x v="131"/>
    <x v="184"/>
    <s v="Same Day"/>
    <x v="154"/>
    <x v="2"/>
    <s v="Ho ChÃ­ Minh City"/>
    <s v="Vietnam"/>
    <s v="APAC"/>
    <x v="0"/>
    <s v="OFF-AR-10000720"/>
    <x v="0"/>
    <x v="5"/>
    <x v="224"/>
    <n v="63"/>
    <n v="3"/>
    <x v="0"/>
    <n v="2.2814999999999999"/>
    <n v="0.66"/>
    <s v="High"/>
    <n v="2014"/>
  </r>
  <r>
    <s v="YM-2012-9880"/>
    <x v="156"/>
    <x v="185"/>
    <s v="Standard Class"/>
    <x v="204"/>
    <x v="2"/>
    <s v="Ta'izz"/>
    <s v="Yemen"/>
    <s v="EMEA"/>
    <x v="4"/>
    <s v="TEC-SHA-10003670"/>
    <x v="2"/>
    <x v="14"/>
    <x v="225"/>
    <n v="214"/>
    <n v="2"/>
    <x v="7"/>
    <n v="-320.32799999999997"/>
    <n v="16.84"/>
    <s v="High"/>
    <n v="2012"/>
  </r>
  <r>
    <s v="CA-2013-102813"/>
    <x v="157"/>
    <x v="186"/>
    <s v="First Class"/>
    <x v="121"/>
    <x v="0"/>
    <s v="Texas"/>
    <s v="United States"/>
    <s v="US"/>
    <x v="2"/>
    <s v="FUR-CH-10000665"/>
    <x v="1"/>
    <x v="8"/>
    <x v="226"/>
    <n v="528"/>
    <n v="5"/>
    <x v="8"/>
    <n v="0"/>
    <n v="88.68"/>
    <s v="High"/>
    <n v="2013"/>
  </r>
  <r>
    <s v="RS-2014-5110"/>
    <x v="127"/>
    <x v="187"/>
    <s v="First Class"/>
    <x v="205"/>
    <x v="0"/>
    <s v="Arkhangel'sk"/>
    <s v="Russia"/>
    <s v="EMEA"/>
    <x v="4"/>
    <s v="OFF-ACC-10004538"/>
    <x v="0"/>
    <x v="0"/>
    <x v="227"/>
    <n v="14"/>
    <n v="1"/>
    <x v="1"/>
    <n v="4.08"/>
    <n v="1.0900000000000001"/>
    <s v="Medium"/>
    <n v="2014"/>
  </r>
  <r>
    <s v="IS-2012-3230"/>
    <x v="158"/>
    <x v="188"/>
    <s v="Standard Class"/>
    <x v="206"/>
    <x v="0"/>
    <s v="Tel Aviv"/>
    <s v="Israel"/>
    <s v="EMEA"/>
    <x v="4"/>
    <s v="OFF-CAR-10004229"/>
    <x v="0"/>
    <x v="0"/>
    <x v="228"/>
    <n v="15"/>
    <n v="2"/>
    <x v="1"/>
    <n v="5.04"/>
    <n v="2.04"/>
    <s v="High"/>
    <n v="2012"/>
  </r>
  <r>
    <s v="RO-2014-2550"/>
    <x v="115"/>
    <x v="1"/>
    <s v="Standard Class"/>
    <x v="207"/>
    <x v="2"/>
    <s v="Valcea"/>
    <s v="Romania"/>
    <s v="EMEA"/>
    <x v="4"/>
    <s v="TEC-PAN-10004360"/>
    <x v="2"/>
    <x v="10"/>
    <x v="229"/>
    <n v="49"/>
    <n v="1"/>
    <x v="1"/>
    <n v="16.05"/>
    <n v="2.35"/>
    <s v="Medium"/>
    <n v="2014"/>
  </r>
  <r>
    <s v="CA-2013-128258"/>
    <x v="159"/>
    <x v="167"/>
    <s v="First Class"/>
    <x v="208"/>
    <x v="0"/>
    <s v="Connecticut"/>
    <s v="United States"/>
    <s v="US"/>
    <x v="12"/>
    <s v="OFF-PA-10004156"/>
    <x v="0"/>
    <x v="7"/>
    <x v="230"/>
    <n v="11"/>
    <n v="1"/>
    <x v="1"/>
    <n v="5.5566000000000004"/>
    <n v="2.0099999999999998"/>
    <s v="High"/>
    <n v="2013"/>
  </r>
  <r>
    <s v="MX-2014-143462"/>
    <x v="111"/>
    <x v="179"/>
    <s v="Same Day"/>
    <x v="209"/>
    <x v="2"/>
    <s v="Chihuahua"/>
    <s v="Mexico"/>
    <s v="LATAM"/>
    <x v="6"/>
    <s v="FUR-CH-10001819"/>
    <x v="1"/>
    <x v="8"/>
    <x v="113"/>
    <n v="73"/>
    <n v="2"/>
    <x v="6"/>
    <n v="19.928000000000001"/>
    <n v="5.89"/>
    <s v="High"/>
    <n v="2014"/>
  </r>
  <r>
    <s v="IN-2014-21171"/>
    <x v="110"/>
    <x v="138"/>
    <s v="Standard Class"/>
    <x v="210"/>
    <x v="2"/>
    <s v="Henan"/>
    <s v="China"/>
    <s v="APAC"/>
    <x v="8"/>
    <s v="FUR-BO-10002000"/>
    <x v="1"/>
    <x v="13"/>
    <x v="231"/>
    <n v="822"/>
    <n v="2"/>
    <x v="1"/>
    <n v="123.36"/>
    <n v="45.16"/>
    <s v="Medium"/>
    <n v="2014"/>
  </r>
  <r>
    <s v="US-2013-152842"/>
    <x v="122"/>
    <x v="157"/>
    <s v="Second Class"/>
    <x v="211"/>
    <x v="1"/>
    <s v="Entre RÃ­os"/>
    <s v="Argentina"/>
    <s v="LATAM"/>
    <x v="1"/>
    <s v="OFF-FA-10002085"/>
    <x v="0"/>
    <x v="6"/>
    <x v="232"/>
    <n v="20"/>
    <n v="3"/>
    <x v="5"/>
    <n v="-6.8520000000000003"/>
    <n v="1.77"/>
    <s v="Medium"/>
    <n v="2013"/>
  </r>
  <r>
    <s v="MX-2012-113614"/>
    <x v="160"/>
    <x v="189"/>
    <s v="Standard Class"/>
    <x v="212"/>
    <x v="2"/>
    <s v="Las Tunas"/>
    <s v="Cuba"/>
    <s v="LATAM"/>
    <x v="11"/>
    <s v="TEC-CO-10000262"/>
    <x v="2"/>
    <x v="14"/>
    <x v="233"/>
    <n v="392"/>
    <n v="4"/>
    <x v="9"/>
    <n v="65.934399999999997"/>
    <n v="30.22"/>
    <s v="Medium"/>
    <n v="2012"/>
  </r>
  <r>
    <s v="MO-2012-6660"/>
    <x v="152"/>
    <x v="190"/>
    <s v="Second Class"/>
    <x v="213"/>
    <x v="0"/>
    <s v="FÃ¨s-Boulemane"/>
    <s v="Morocco"/>
    <s v="Africa"/>
    <x v="5"/>
    <s v="OFF-CUI-10000682"/>
    <x v="0"/>
    <x v="1"/>
    <x v="234"/>
    <n v="1078"/>
    <n v="2"/>
    <x v="1"/>
    <n v="323.39999999999998"/>
    <n v="150.41"/>
    <s v="High"/>
    <n v="2012"/>
  </r>
  <r>
    <s v="RW-2014-680"/>
    <x v="119"/>
    <x v="136"/>
    <s v="First Class"/>
    <x v="35"/>
    <x v="0"/>
    <s v="Kigali"/>
    <s v="Rwanda"/>
    <s v="Africa"/>
    <x v="5"/>
    <s v="OFF-ACC-10003713"/>
    <x v="0"/>
    <x v="6"/>
    <x v="235"/>
    <n v="135"/>
    <n v="8"/>
    <x v="1"/>
    <n v="40.32"/>
    <n v="14.88"/>
    <s v="High"/>
    <n v="2014"/>
  </r>
  <r>
    <s v="RS-2014-4120"/>
    <x v="127"/>
    <x v="138"/>
    <s v="Second Class"/>
    <x v="196"/>
    <x v="1"/>
    <s v="Yaroslavl'"/>
    <s v="Russia"/>
    <s v="EMEA"/>
    <x v="4"/>
    <s v="TEC-MOT-10003348"/>
    <x v="2"/>
    <x v="9"/>
    <x v="236"/>
    <n v="2571"/>
    <n v="4"/>
    <x v="1"/>
    <n v="976.8"/>
    <n v="357.89"/>
    <s v="Medium"/>
    <n v="2014"/>
  </r>
  <r>
    <s v="CA-2012-132101"/>
    <x v="161"/>
    <x v="191"/>
    <s v="Standard Class"/>
    <x v="214"/>
    <x v="1"/>
    <s v="Washington"/>
    <s v="United States"/>
    <s v="US"/>
    <x v="7"/>
    <s v="TEC-PH-10004539"/>
    <x v="2"/>
    <x v="9"/>
    <x v="237"/>
    <n v="454"/>
    <n v="3"/>
    <x v="6"/>
    <n v="39.687899999999999"/>
    <n v="31.48"/>
    <s v="Medium"/>
    <n v="2012"/>
  </r>
  <r>
    <s v="US-2011-148838"/>
    <x v="162"/>
    <x v="192"/>
    <s v="Standard Class"/>
    <x v="101"/>
    <x v="0"/>
    <s v="New York"/>
    <s v="United States"/>
    <s v="US"/>
    <x v="12"/>
    <s v="FUR-TA-10003473"/>
    <x v="1"/>
    <x v="12"/>
    <x v="238"/>
    <n v="1580"/>
    <n v="7"/>
    <x v="5"/>
    <n v="-447.59469999999999"/>
    <n v="101.14"/>
    <s v="Medium"/>
    <n v="2011"/>
  </r>
  <r>
    <s v="TZ-2011-4790"/>
    <x v="151"/>
    <x v="193"/>
    <s v="First Class"/>
    <x v="215"/>
    <x v="2"/>
    <s v="Dar Es Salaam"/>
    <s v="Tanzania"/>
    <s v="Africa"/>
    <x v="5"/>
    <s v="FUR-ELD-10003828"/>
    <x v="1"/>
    <x v="2"/>
    <x v="239"/>
    <n v="24"/>
    <n v="1"/>
    <x v="1"/>
    <n v="2.85"/>
    <n v="7.14"/>
    <s v="Critical"/>
    <n v="2011"/>
  </r>
  <r>
    <s v="EG-2014-1540"/>
    <x v="110"/>
    <x v="136"/>
    <s v="Standard Class"/>
    <x v="91"/>
    <x v="2"/>
    <s v="Al Qahirah"/>
    <s v="Egypt"/>
    <s v="Africa"/>
    <x v="5"/>
    <s v="OFF-IBI-10000440"/>
    <x v="0"/>
    <x v="0"/>
    <x v="240"/>
    <n v="26"/>
    <n v="2"/>
    <x v="1"/>
    <n v="1.8"/>
    <n v="1.39"/>
    <s v="Medium"/>
    <n v="2014"/>
  </r>
  <r>
    <s v="MX-2013-143455"/>
    <x v="163"/>
    <x v="194"/>
    <s v="Standard Class"/>
    <x v="216"/>
    <x v="2"/>
    <s v="ParÃ¡"/>
    <s v="Brazil"/>
    <s v="LATAM"/>
    <x v="1"/>
    <s v="OFF-EN-10001832"/>
    <x v="0"/>
    <x v="16"/>
    <x v="241"/>
    <n v="79"/>
    <n v="3"/>
    <x v="1"/>
    <n v="13.38"/>
    <n v="6.94"/>
    <s v="Medium"/>
    <n v="2013"/>
  </r>
  <r>
    <s v="ES-2014-5640080"/>
    <x v="164"/>
    <x v="195"/>
    <s v="Standard Class"/>
    <x v="217"/>
    <x v="2"/>
    <s v="Rhineland-Palatinate"/>
    <s v="Germany"/>
    <s v="EU"/>
    <x v="2"/>
    <s v="OFF-SU-10001703"/>
    <x v="0"/>
    <x v="15"/>
    <x v="242"/>
    <n v="107"/>
    <n v="3"/>
    <x v="1"/>
    <n v="37.26"/>
    <n v="19.059999999999999"/>
    <s v="High"/>
    <n v="2014"/>
  </r>
  <r>
    <s v="CA-2014-111738"/>
    <x v="165"/>
    <x v="196"/>
    <s v="Standard Class"/>
    <x v="218"/>
    <x v="2"/>
    <s v="California"/>
    <s v="United States"/>
    <s v="US"/>
    <x v="7"/>
    <s v="OFF-BI-10004584"/>
    <x v="0"/>
    <x v="0"/>
    <x v="243"/>
    <n v="2022"/>
    <n v="8"/>
    <x v="6"/>
    <n v="682.51679999999999"/>
    <n v="215.83"/>
    <s v="Medium"/>
    <n v="2014"/>
  </r>
  <r>
    <s v="US-2013-113866"/>
    <x v="166"/>
    <x v="176"/>
    <s v="Standard Class"/>
    <x v="219"/>
    <x v="2"/>
    <s v="Distrito Federal"/>
    <s v="Mexico"/>
    <s v="LATAM"/>
    <x v="6"/>
    <s v="OFF-EN-10003529"/>
    <x v="0"/>
    <x v="16"/>
    <x v="244"/>
    <n v="23"/>
    <n v="2"/>
    <x v="1"/>
    <n v="6.04"/>
    <n v="3.27"/>
    <s v="Low"/>
    <n v="2013"/>
  </r>
  <r>
    <s v="RS-2011-2560"/>
    <x v="167"/>
    <x v="197"/>
    <s v="Standard Class"/>
    <x v="30"/>
    <x v="0"/>
    <s v="Yaroslavl'"/>
    <s v="Russia"/>
    <s v="EMEA"/>
    <x v="4"/>
    <s v="TEC-PAN-10000979"/>
    <x v="2"/>
    <x v="10"/>
    <x v="245"/>
    <n v="121"/>
    <n v="1"/>
    <x v="1"/>
    <n v="31.41"/>
    <n v="4.99"/>
    <s v="Medium"/>
    <n v="2011"/>
  </r>
  <r>
    <s v="IN-2014-86558"/>
    <x v="168"/>
    <x v="116"/>
    <s v="Second Class"/>
    <x v="45"/>
    <x v="1"/>
    <s v="New South Wales"/>
    <s v="Australia"/>
    <s v="APAC"/>
    <x v="9"/>
    <s v="OFF-AR-10004918"/>
    <x v="0"/>
    <x v="5"/>
    <x v="200"/>
    <n v="26"/>
    <n v="2"/>
    <x v="1"/>
    <n v="4.4400000000000004"/>
    <n v="3.04"/>
    <s v="High"/>
    <n v="2014"/>
  </r>
  <r>
    <s v="US-2013-115819"/>
    <x v="163"/>
    <x v="194"/>
    <s v="Second Class"/>
    <x v="220"/>
    <x v="2"/>
    <s v="California"/>
    <s v="United States"/>
    <s v="US"/>
    <x v="7"/>
    <s v="OFF-BI-10000050"/>
    <x v="0"/>
    <x v="0"/>
    <x v="246"/>
    <n v="6"/>
    <n v="1"/>
    <x v="6"/>
    <n v="1.9710000000000001"/>
    <n v="0.13"/>
    <s v="Medium"/>
    <n v="2013"/>
  </r>
  <r>
    <s v="SU-2013-8780"/>
    <x v="169"/>
    <x v="198"/>
    <s v="Standard Class"/>
    <x v="221"/>
    <x v="0"/>
    <s v="Red Sea"/>
    <s v="Sudan"/>
    <s v="Africa"/>
    <x v="5"/>
    <s v="OFF-HAR-10000501"/>
    <x v="0"/>
    <x v="4"/>
    <x v="247"/>
    <n v="9"/>
    <n v="1"/>
    <x v="1"/>
    <n v="2.7"/>
    <n v="0.98"/>
    <s v="Medium"/>
    <n v="2013"/>
  </r>
  <r>
    <s v="IR-2012-1390"/>
    <x v="170"/>
    <x v="199"/>
    <s v="Standard Class"/>
    <x v="208"/>
    <x v="0"/>
    <s v="Gilan"/>
    <s v="Iran"/>
    <s v="EMEA"/>
    <x v="4"/>
    <s v="FUR-LES-10004886"/>
    <x v="1"/>
    <x v="12"/>
    <x v="248"/>
    <n v="1718"/>
    <n v="2"/>
    <x v="1"/>
    <n v="68.7"/>
    <n v="196.23"/>
    <s v="High"/>
    <n v="2012"/>
  </r>
  <r>
    <s v="TU-2011-3910"/>
    <x v="171"/>
    <x v="200"/>
    <s v="Second Class"/>
    <x v="222"/>
    <x v="1"/>
    <s v="Ankara"/>
    <s v="Turkey"/>
    <s v="EMEA"/>
    <x v="4"/>
    <s v="TEC-SAN-10001506"/>
    <x v="2"/>
    <x v="11"/>
    <x v="139"/>
    <n v="413"/>
    <n v="4"/>
    <x v="3"/>
    <n v="-392.04"/>
    <n v="61.42"/>
    <s v="High"/>
    <n v="2011"/>
  </r>
  <r>
    <s v="TU-2013-2580"/>
    <x v="163"/>
    <x v="201"/>
    <s v="Standard Class"/>
    <x v="105"/>
    <x v="1"/>
    <s v="Adana"/>
    <s v="Turkey"/>
    <s v="EMEA"/>
    <x v="4"/>
    <s v="OFF-CAR-10002942"/>
    <x v="0"/>
    <x v="0"/>
    <x v="249"/>
    <n v="140"/>
    <n v="12"/>
    <x v="3"/>
    <n v="-108.792"/>
    <n v="7.77"/>
    <s v="Medium"/>
    <n v="2013"/>
  </r>
  <r>
    <s v="CG-2014-5060"/>
    <x v="172"/>
    <x v="202"/>
    <s v="Standard Class"/>
    <x v="148"/>
    <x v="2"/>
    <s v="Bandundu"/>
    <s v="Democratic Republic of the Congo"/>
    <s v="Africa"/>
    <x v="5"/>
    <s v="OFF-WIL-10000390"/>
    <x v="0"/>
    <x v="0"/>
    <x v="250"/>
    <n v="15"/>
    <n v="1"/>
    <x v="1"/>
    <n v="0.56999999999999995"/>
    <n v="1.71"/>
    <s v="Medium"/>
    <n v="2014"/>
  </r>
  <r>
    <s v="ES-2014-5334183"/>
    <x v="173"/>
    <x v="67"/>
    <s v="Second Class"/>
    <x v="223"/>
    <x v="2"/>
    <s v="England"/>
    <s v="United Kingdom"/>
    <s v="EU"/>
    <x v="6"/>
    <s v="OFF-ST-10001576"/>
    <x v="0"/>
    <x v="3"/>
    <x v="251"/>
    <n v="23"/>
    <n v="1"/>
    <x v="1"/>
    <n v="7.65"/>
    <n v="4.18"/>
    <s v="High"/>
    <n v="2014"/>
  </r>
  <r>
    <s v="US-2012-163433"/>
    <x v="174"/>
    <x v="203"/>
    <s v="Second Class"/>
    <x v="39"/>
    <x v="0"/>
    <s v="Texas"/>
    <s v="United States"/>
    <s v="US"/>
    <x v="2"/>
    <s v="TEC-PH-10003357"/>
    <x v="2"/>
    <x v="9"/>
    <x v="252"/>
    <n v="245"/>
    <n v="4"/>
    <x v="6"/>
    <n v="24.476800000000001"/>
    <n v="64.52"/>
    <s v="High"/>
    <n v="2012"/>
  </r>
  <r>
    <s v="MX-2011-165106"/>
    <x v="175"/>
    <x v="97"/>
    <s v="Second Class"/>
    <x v="224"/>
    <x v="2"/>
    <s v="San Salvador"/>
    <s v="El Salvador"/>
    <s v="LATAM"/>
    <x v="2"/>
    <s v="OFF-AP-10004627"/>
    <x v="0"/>
    <x v="1"/>
    <x v="253"/>
    <n v="1086"/>
    <n v="3"/>
    <x v="1"/>
    <n v="32.58"/>
    <n v="55.81"/>
    <s v="Medium"/>
    <n v="2011"/>
  </r>
  <r>
    <s v="CA-2012-137974"/>
    <x v="176"/>
    <x v="204"/>
    <s v="First Class"/>
    <x v="225"/>
    <x v="2"/>
    <s v="Virginia"/>
    <s v="United States"/>
    <s v="US"/>
    <x v="1"/>
    <s v="TEC-PH-10002033"/>
    <x v="2"/>
    <x v="9"/>
    <x v="254"/>
    <n v="570"/>
    <n v="2"/>
    <x v="1"/>
    <n v="148.10640000000001"/>
    <n v="1.91"/>
    <s v="Medium"/>
    <n v="2012"/>
  </r>
  <r>
    <s v="CA-2012-112557"/>
    <x v="177"/>
    <x v="205"/>
    <s v="First Class"/>
    <x v="226"/>
    <x v="2"/>
    <s v="New York"/>
    <s v="United States"/>
    <s v="US"/>
    <x v="12"/>
    <s v="OFF-AP-10002311"/>
    <x v="0"/>
    <x v="1"/>
    <x v="255"/>
    <n v="206"/>
    <n v="3"/>
    <x v="1"/>
    <n v="90.8292"/>
    <n v="8.77"/>
    <s v="Medium"/>
    <n v="2012"/>
  </r>
  <r>
    <s v="CA-2013-163594"/>
    <x v="178"/>
    <x v="206"/>
    <s v="First Class"/>
    <x v="29"/>
    <x v="2"/>
    <s v="California"/>
    <s v="United States"/>
    <s v="US"/>
    <x v="7"/>
    <s v="OFF-PA-10000809"/>
    <x v="0"/>
    <x v="7"/>
    <x v="256"/>
    <n v="19"/>
    <n v="3"/>
    <x v="1"/>
    <n v="9.3312000000000008"/>
    <n v="1.77"/>
    <s v="Medium"/>
    <n v="2013"/>
  </r>
  <r>
    <s v="MX-2014-127537"/>
    <x v="179"/>
    <x v="207"/>
    <s v="Standard Class"/>
    <x v="188"/>
    <x v="2"/>
    <s v="SÃ£o Paulo"/>
    <s v="Brazil"/>
    <s v="LATAM"/>
    <x v="1"/>
    <s v="TEC-PH-10002892"/>
    <x v="2"/>
    <x v="9"/>
    <x v="257"/>
    <n v="252"/>
    <n v="3"/>
    <x v="1"/>
    <n v="73.08"/>
    <n v="17.8"/>
    <s v="Medium"/>
    <n v="2014"/>
  </r>
  <r>
    <s v="ES-2014-2968300"/>
    <x v="180"/>
    <x v="195"/>
    <s v="First Class"/>
    <x v="227"/>
    <x v="0"/>
    <s v="Ile-de-France"/>
    <s v="France"/>
    <s v="EU"/>
    <x v="2"/>
    <s v="FUR-FU-10004049"/>
    <x v="1"/>
    <x v="2"/>
    <x v="239"/>
    <n v="95"/>
    <n v="4"/>
    <x v="1"/>
    <n v="11.4"/>
    <n v="19.559999999999999"/>
    <s v="High"/>
    <n v="2014"/>
  </r>
  <r>
    <s v="IN-2011-57704"/>
    <x v="181"/>
    <x v="208"/>
    <s v="Second Class"/>
    <x v="228"/>
    <x v="2"/>
    <s v="Maharashtra"/>
    <s v="India"/>
    <s v="APAC"/>
    <x v="3"/>
    <s v="FUR-FU-10002292"/>
    <x v="1"/>
    <x v="2"/>
    <x v="258"/>
    <n v="132"/>
    <n v="3"/>
    <x v="1"/>
    <n v="54.09"/>
    <n v="18.440000000000001"/>
    <s v="Medium"/>
    <n v="2011"/>
  </r>
  <r>
    <s v="IN-2013-38475"/>
    <x v="182"/>
    <x v="186"/>
    <s v="Same Day"/>
    <x v="229"/>
    <x v="2"/>
    <s v="Sumatera Utara"/>
    <s v="Indonesia"/>
    <s v="APAC"/>
    <x v="0"/>
    <s v="FUR-BO-10002204"/>
    <x v="1"/>
    <x v="13"/>
    <x v="259"/>
    <n v="315"/>
    <n v="2"/>
    <x v="10"/>
    <n v="125.271"/>
    <n v="33.67"/>
    <s v="High"/>
    <n v="2013"/>
  </r>
  <r>
    <s v="IS-2011-1180"/>
    <x v="167"/>
    <x v="197"/>
    <s v="Standard Class"/>
    <x v="7"/>
    <x v="2"/>
    <s v="Jerusalem"/>
    <s v="Israel"/>
    <s v="EMEA"/>
    <x v="4"/>
    <s v="OFF-ACC-10003745"/>
    <x v="0"/>
    <x v="6"/>
    <x v="260"/>
    <n v="14"/>
    <n v="1"/>
    <x v="1"/>
    <n v="0.84"/>
    <n v="1.89"/>
    <s v="High"/>
    <n v="2011"/>
  </r>
  <r>
    <s v="US-2013-151225"/>
    <x v="183"/>
    <x v="209"/>
    <s v="Standard Class"/>
    <x v="230"/>
    <x v="0"/>
    <s v="Lima (city)"/>
    <s v="Peru"/>
    <s v="LATAM"/>
    <x v="1"/>
    <s v="OFF-ST-10003056"/>
    <x v="0"/>
    <x v="3"/>
    <x v="261"/>
    <n v="65"/>
    <n v="7"/>
    <x v="5"/>
    <n v="-38.08"/>
    <n v="1.91"/>
    <s v="Medium"/>
    <n v="2013"/>
  </r>
  <r>
    <s v="US-2012-112004"/>
    <x v="184"/>
    <x v="210"/>
    <s v="Standard Class"/>
    <x v="102"/>
    <x v="2"/>
    <s v="Sinaloa"/>
    <s v="Mexico"/>
    <s v="LATAM"/>
    <x v="6"/>
    <s v="FUR-FU-10000975"/>
    <x v="1"/>
    <x v="2"/>
    <x v="262"/>
    <n v="45"/>
    <n v="2"/>
    <x v="5"/>
    <n v="-2.4E-2"/>
    <n v="3.65"/>
    <s v="Medium"/>
    <n v="2012"/>
  </r>
  <r>
    <s v="ES-2013-5506373"/>
    <x v="185"/>
    <x v="211"/>
    <s v="Second Class"/>
    <x v="103"/>
    <x v="1"/>
    <s v="Piedmont"/>
    <s v="Italy"/>
    <s v="EU"/>
    <x v="1"/>
    <s v="OFF-AP-10004201"/>
    <x v="0"/>
    <x v="1"/>
    <x v="263"/>
    <n v="2070"/>
    <n v="4"/>
    <x v="1"/>
    <n v="413.88"/>
    <n v="132.18"/>
    <s v="High"/>
    <n v="2013"/>
  </r>
  <r>
    <s v="CA-2012-100216"/>
    <x v="186"/>
    <x v="212"/>
    <s v="First Class"/>
    <x v="231"/>
    <x v="1"/>
    <s v="Arizona"/>
    <s v="United States"/>
    <s v="US"/>
    <x v="7"/>
    <s v="OFF-PA-10000788"/>
    <x v="0"/>
    <x v="7"/>
    <x v="264"/>
    <n v="31"/>
    <n v="6"/>
    <x v="6"/>
    <n v="10.8864"/>
    <n v="3.06"/>
    <s v="Medium"/>
    <n v="2012"/>
  </r>
  <r>
    <s v="LT-2011-270"/>
    <x v="187"/>
    <x v="197"/>
    <s v="First Class"/>
    <x v="232"/>
    <x v="0"/>
    <s v="Maseru"/>
    <s v="Lesotho"/>
    <s v="Africa"/>
    <x v="5"/>
    <s v="OFF-ELD-10002199"/>
    <x v="0"/>
    <x v="3"/>
    <x v="265"/>
    <n v="128"/>
    <n v="1"/>
    <x v="1"/>
    <n v="55.17"/>
    <n v="29.32"/>
    <s v="High"/>
    <n v="2011"/>
  </r>
  <r>
    <s v="ES-2013-1245292"/>
    <x v="188"/>
    <x v="213"/>
    <s v="First Class"/>
    <x v="233"/>
    <x v="0"/>
    <s v="North Rhine-Westphalia"/>
    <s v="Germany"/>
    <s v="EU"/>
    <x v="2"/>
    <s v="OFF-BI-10001192"/>
    <x v="0"/>
    <x v="0"/>
    <x v="266"/>
    <n v="40"/>
    <n v="3"/>
    <x v="1"/>
    <n v="1.17"/>
    <n v="7.12"/>
    <s v="High"/>
    <n v="2013"/>
  </r>
  <r>
    <s v="CA-2014-123071"/>
    <x v="189"/>
    <x v="156"/>
    <s v="First Class"/>
    <x v="111"/>
    <x v="2"/>
    <s v="Texas"/>
    <s v="United States"/>
    <s v="US"/>
    <x v="2"/>
    <s v="OFF-PA-10003729"/>
    <x v="0"/>
    <x v="7"/>
    <x v="267"/>
    <n v="10"/>
    <n v="2"/>
    <x v="6"/>
    <n v="3.6288"/>
    <n v="1.1000000000000001"/>
    <s v="High"/>
    <n v="2014"/>
  </r>
  <r>
    <s v="IT-2014-2866257"/>
    <x v="173"/>
    <x v="214"/>
    <s v="Standard Class"/>
    <x v="234"/>
    <x v="0"/>
    <s v="Ile-de-France"/>
    <s v="France"/>
    <s v="EU"/>
    <x v="2"/>
    <s v="OFF-SU-10004691"/>
    <x v="0"/>
    <x v="15"/>
    <x v="268"/>
    <n v="79"/>
    <n v="4"/>
    <x v="1"/>
    <n v="35.64"/>
    <n v="1.75"/>
    <s v="Medium"/>
    <n v="2014"/>
  </r>
  <r>
    <s v="MX-2013-133256"/>
    <x v="166"/>
    <x v="215"/>
    <s v="Standard Class"/>
    <x v="235"/>
    <x v="2"/>
    <s v="Santa Ana"/>
    <s v="El Salvador"/>
    <s v="LATAM"/>
    <x v="2"/>
    <s v="FUR-BO-10003438"/>
    <x v="1"/>
    <x v="13"/>
    <x v="269"/>
    <n v="411"/>
    <n v="5"/>
    <x v="1"/>
    <n v="86.3"/>
    <n v="20.88"/>
    <s v="Medium"/>
    <n v="2013"/>
  </r>
  <r>
    <s v="US-2014-132731"/>
    <x v="168"/>
    <x v="216"/>
    <s v="Second Class"/>
    <x v="236"/>
    <x v="2"/>
    <s v="CortÃ©s"/>
    <s v="Honduras"/>
    <s v="LATAM"/>
    <x v="2"/>
    <s v="OFF-LA-10001019"/>
    <x v="0"/>
    <x v="4"/>
    <x v="270"/>
    <n v="9"/>
    <n v="2"/>
    <x v="5"/>
    <n v="-2.6320000000000001"/>
    <n v="0.96"/>
    <s v="Medium"/>
    <n v="2014"/>
  </r>
  <r>
    <s v="ES-2012-1517831"/>
    <x v="190"/>
    <x v="217"/>
    <s v="Standard Class"/>
    <x v="208"/>
    <x v="0"/>
    <s v="Provence-Alpes-CÃ´te d'Azur"/>
    <s v="France"/>
    <s v="EU"/>
    <x v="2"/>
    <s v="OFF-EN-10002008"/>
    <x v="0"/>
    <x v="16"/>
    <x v="271"/>
    <n v="333"/>
    <n v="9"/>
    <x v="1"/>
    <n v="76.41"/>
    <n v="11.51"/>
    <s v="Medium"/>
    <n v="2012"/>
  </r>
  <r>
    <s v="US-2014-110611"/>
    <x v="191"/>
    <x v="218"/>
    <s v="Standard Class"/>
    <x v="237"/>
    <x v="1"/>
    <s v="AnzoÃ¡tegui"/>
    <s v="Venezuela"/>
    <s v="LATAM"/>
    <x v="1"/>
    <s v="FUR-FU-10004903"/>
    <x v="1"/>
    <x v="2"/>
    <x v="272"/>
    <n v="40"/>
    <n v="4"/>
    <x v="5"/>
    <n v="-7.44"/>
    <n v="2.66"/>
    <s v="Medium"/>
    <n v="2014"/>
  </r>
  <r>
    <s v="CA-2014-121503"/>
    <x v="192"/>
    <x v="219"/>
    <s v="Second Class"/>
    <x v="238"/>
    <x v="0"/>
    <s v="Texas"/>
    <s v="United States"/>
    <s v="US"/>
    <x v="2"/>
    <s v="TEC-MA-10003674"/>
    <x v="2"/>
    <x v="10"/>
    <x v="273"/>
    <n v="597"/>
    <n v="3"/>
    <x v="5"/>
    <n v="49.761000000000003"/>
    <n v="40.78"/>
    <s v="Medium"/>
    <n v="2014"/>
  </r>
  <r>
    <s v="ES-2011-5178055"/>
    <x v="193"/>
    <x v="208"/>
    <s v="Standard Class"/>
    <x v="239"/>
    <x v="0"/>
    <s v="Hamburg"/>
    <s v="Germany"/>
    <s v="EU"/>
    <x v="2"/>
    <s v="OFF-ST-10002042"/>
    <x v="0"/>
    <x v="3"/>
    <x v="82"/>
    <n v="48"/>
    <n v="2"/>
    <x v="2"/>
    <n v="6.984"/>
    <n v="3.6"/>
    <s v="Medium"/>
    <n v="2011"/>
  </r>
  <r>
    <s v="CA-2011-100678"/>
    <x v="193"/>
    <x v="208"/>
    <s v="Standard Class"/>
    <x v="44"/>
    <x v="2"/>
    <s v="Texas"/>
    <s v="United States"/>
    <s v="US"/>
    <x v="2"/>
    <s v="OFF-AR-10001868"/>
    <x v="0"/>
    <x v="5"/>
    <x v="80"/>
    <n v="3"/>
    <n v="2"/>
    <x v="6"/>
    <n v="1.008"/>
    <n v="0.1"/>
    <s v="Medium"/>
    <n v="2011"/>
  </r>
  <r>
    <s v="ID-2012-25315"/>
    <x v="194"/>
    <x v="88"/>
    <s v="Same Day"/>
    <x v="240"/>
    <x v="2"/>
    <s v="Jakarta"/>
    <s v="Indonesia"/>
    <s v="APAC"/>
    <x v="0"/>
    <s v="OFF-ST-10001026"/>
    <x v="0"/>
    <x v="3"/>
    <x v="274"/>
    <n v="143"/>
    <n v="3"/>
    <x v="0"/>
    <n v="48.205800000000004"/>
    <n v="59.62"/>
    <s v="Critical"/>
    <n v="2012"/>
  </r>
  <r>
    <s v="ES-2014-5467236"/>
    <x v="165"/>
    <x v="196"/>
    <s v="Standard Class"/>
    <x v="241"/>
    <x v="2"/>
    <s v="RhÃ´ne-Alpes"/>
    <s v="France"/>
    <s v="EU"/>
    <x v="2"/>
    <s v="OFF-SU-10001813"/>
    <x v="0"/>
    <x v="15"/>
    <x v="275"/>
    <n v="46"/>
    <n v="3"/>
    <x v="1"/>
    <n v="0.9"/>
    <n v="4.62"/>
    <s v="Medium"/>
    <n v="2014"/>
  </r>
  <r>
    <s v="MX-2013-164938"/>
    <x v="195"/>
    <x v="213"/>
    <s v="Second Class"/>
    <x v="242"/>
    <x v="2"/>
    <s v="Alagoas"/>
    <s v="Brazil"/>
    <s v="LATAM"/>
    <x v="1"/>
    <s v="OFF-PA-10002418"/>
    <x v="0"/>
    <x v="7"/>
    <x v="276"/>
    <n v="50"/>
    <n v="3"/>
    <x v="1"/>
    <n v="5.52"/>
    <n v="3.87"/>
    <s v="Medium"/>
    <n v="2013"/>
  </r>
  <r>
    <s v="NI-2014-9770"/>
    <x v="196"/>
    <x v="220"/>
    <s v="Standard Class"/>
    <x v="243"/>
    <x v="0"/>
    <s v="Kaduna"/>
    <s v="Nigeria"/>
    <s v="Africa"/>
    <x v="5"/>
    <s v="OFF-ACC-10000233"/>
    <x v="0"/>
    <x v="0"/>
    <x v="203"/>
    <n v="5"/>
    <n v="1"/>
    <x v="7"/>
    <n v="-8.5050000000000008"/>
    <n v="0.41"/>
    <s v="Medium"/>
    <n v="2014"/>
  </r>
  <r>
    <s v="ID-2012-82393"/>
    <x v="197"/>
    <x v="203"/>
    <s v="Second Class"/>
    <x v="244"/>
    <x v="1"/>
    <s v="Auckland"/>
    <s v="New Zealand"/>
    <s v="APAC"/>
    <x v="9"/>
    <s v="FUR-CH-10004199"/>
    <x v="1"/>
    <x v="8"/>
    <x v="277"/>
    <n v="557"/>
    <n v="2"/>
    <x v="5"/>
    <n v="-306.21600000000001"/>
    <n v="177.36"/>
    <s v="Critical"/>
    <n v="2012"/>
  </r>
  <r>
    <s v="MX-2013-128027"/>
    <x v="198"/>
    <x v="221"/>
    <s v="Standard Class"/>
    <x v="245"/>
    <x v="0"/>
    <s v="CortÃ©s"/>
    <s v="Honduras"/>
    <s v="LATAM"/>
    <x v="2"/>
    <s v="OFF-FA-10003885"/>
    <x v="0"/>
    <x v="6"/>
    <x v="278"/>
    <n v="26"/>
    <n v="4"/>
    <x v="5"/>
    <n v="-5.2640000000000002"/>
    <n v="4.6500000000000004"/>
    <s v="High"/>
    <n v="2013"/>
  </r>
  <r>
    <s v="ES-2013-2734435"/>
    <x v="198"/>
    <x v="102"/>
    <s v="Second Class"/>
    <x v="246"/>
    <x v="1"/>
    <s v="North Rhine-Westphalia"/>
    <s v="Germany"/>
    <s v="EU"/>
    <x v="2"/>
    <s v="FUR-BO-10001831"/>
    <x v="1"/>
    <x v="13"/>
    <x v="279"/>
    <n v="524"/>
    <n v="3"/>
    <x v="2"/>
    <n v="81.468000000000004"/>
    <n v="29.42"/>
    <s v="Medium"/>
    <n v="2013"/>
  </r>
  <r>
    <s v="NI-2011-8350"/>
    <x v="199"/>
    <x v="222"/>
    <s v="Second Class"/>
    <x v="247"/>
    <x v="1"/>
    <s v="Lagos"/>
    <s v="Nigeria"/>
    <s v="Africa"/>
    <x v="5"/>
    <s v="OFF-SAN-10001128"/>
    <x v="0"/>
    <x v="5"/>
    <x v="280"/>
    <n v="7"/>
    <n v="2"/>
    <x v="7"/>
    <n v="-10.698"/>
    <n v="0.35"/>
    <s v="Medium"/>
    <n v="2011"/>
  </r>
  <r>
    <s v="IT-2013-5472233"/>
    <x v="166"/>
    <x v="215"/>
    <s v="Standard Class"/>
    <x v="18"/>
    <x v="1"/>
    <s v="North Brabant"/>
    <s v="Netherlands"/>
    <s v="EU"/>
    <x v="2"/>
    <s v="OFF-BI-10000341"/>
    <x v="0"/>
    <x v="0"/>
    <x v="281"/>
    <n v="259"/>
    <n v="10"/>
    <x v="4"/>
    <n v="-165.9"/>
    <n v="20.03"/>
    <s v="Medium"/>
    <n v="2013"/>
  </r>
  <r>
    <s v="MX-2013-169320"/>
    <x v="200"/>
    <x v="223"/>
    <s v="Standard Class"/>
    <x v="115"/>
    <x v="1"/>
    <s v="Guatemala"/>
    <s v="Guatemala"/>
    <s v="LATAM"/>
    <x v="2"/>
    <s v="FUR-BO-10004425"/>
    <x v="1"/>
    <x v="13"/>
    <x v="282"/>
    <n v="780"/>
    <n v="3"/>
    <x v="1"/>
    <n v="187.26"/>
    <n v="84.22"/>
    <s v="High"/>
    <n v="2013"/>
  </r>
  <r>
    <s v="ES-2012-1986848"/>
    <x v="186"/>
    <x v="224"/>
    <s v="Standard Class"/>
    <x v="248"/>
    <x v="2"/>
    <s v="Franche-ComtÃ©"/>
    <s v="France"/>
    <s v="EU"/>
    <x v="2"/>
    <s v="TEC-MA-10000161"/>
    <x v="2"/>
    <x v="10"/>
    <x v="283"/>
    <n v="416"/>
    <n v="4"/>
    <x v="12"/>
    <n v="68.418000000000006"/>
    <n v="15.54"/>
    <s v="Medium"/>
    <n v="2012"/>
  </r>
  <r>
    <s v="TU-2011-6490"/>
    <x v="201"/>
    <x v="174"/>
    <s v="Standard Class"/>
    <x v="157"/>
    <x v="2"/>
    <s v="Istanbul"/>
    <s v="Turkey"/>
    <s v="EMEA"/>
    <x v="4"/>
    <s v="TEC-PAN-10000131"/>
    <x v="2"/>
    <x v="10"/>
    <x v="284"/>
    <n v="94"/>
    <n v="2"/>
    <x v="3"/>
    <n v="-25.98"/>
    <n v="4.07"/>
    <s v="Medium"/>
    <n v="2011"/>
  </r>
  <r>
    <s v="IN-2011-76842"/>
    <x v="202"/>
    <x v="225"/>
    <s v="Standard Class"/>
    <x v="129"/>
    <x v="2"/>
    <s v="Jawa Timur"/>
    <s v="Indonesia"/>
    <s v="APAC"/>
    <x v="0"/>
    <s v="TEC-CO-10002587"/>
    <x v="2"/>
    <x v="14"/>
    <x v="285"/>
    <n v="470"/>
    <n v="3"/>
    <x v="10"/>
    <n v="202.28399999999999"/>
    <n v="24.86"/>
    <s v="Medium"/>
    <n v="2011"/>
  </r>
  <r>
    <s v="MO-2011-6140"/>
    <x v="167"/>
    <x v="226"/>
    <s v="First Class"/>
    <x v="86"/>
    <x v="0"/>
    <s v="MeknÃ¨s-Tafilalet"/>
    <s v="Morocco"/>
    <s v="Africa"/>
    <x v="5"/>
    <s v="OFF-EAT-10004307"/>
    <x v="0"/>
    <x v="7"/>
    <x v="286"/>
    <n v="18"/>
    <n v="1"/>
    <x v="1"/>
    <n v="4.8"/>
    <n v="0.37"/>
    <s v="Medium"/>
    <n v="2011"/>
  </r>
  <r>
    <s v="MX-2014-147725"/>
    <x v="203"/>
    <x v="227"/>
    <s v="Standard Class"/>
    <x v="249"/>
    <x v="2"/>
    <s v="Nuevo LeÃ³n"/>
    <s v="Mexico"/>
    <s v="LATAM"/>
    <x v="6"/>
    <s v="OFF-BI-10000821"/>
    <x v="0"/>
    <x v="0"/>
    <x v="287"/>
    <n v="11"/>
    <n v="2"/>
    <x v="1"/>
    <n v="3.48"/>
    <n v="0.69"/>
    <s v="High"/>
    <n v="2014"/>
  </r>
  <r>
    <s v="IN-2014-44334"/>
    <x v="204"/>
    <x v="228"/>
    <s v="Standard Class"/>
    <x v="160"/>
    <x v="2"/>
    <s v="Guangdong"/>
    <s v="China"/>
    <s v="APAC"/>
    <x v="8"/>
    <s v="OFF-LA-10003617"/>
    <x v="0"/>
    <x v="4"/>
    <x v="288"/>
    <n v="27"/>
    <n v="3"/>
    <x v="1"/>
    <n v="11.61"/>
    <n v="2.76"/>
    <s v="Medium"/>
    <n v="2014"/>
  </r>
  <r>
    <s v="PL-2012-5180"/>
    <x v="205"/>
    <x v="229"/>
    <s v="Second Class"/>
    <x v="250"/>
    <x v="0"/>
    <s v="Masovia"/>
    <s v="Poland"/>
    <s v="EMEA"/>
    <x v="4"/>
    <s v="OFF-CAM-10003933"/>
    <x v="0"/>
    <x v="16"/>
    <x v="289"/>
    <n v="19"/>
    <n v="1"/>
    <x v="1"/>
    <n v="2.1"/>
    <n v="2.12"/>
    <s v="Medium"/>
    <n v="2012"/>
  </r>
  <r>
    <s v="ES-2011-3072555"/>
    <x v="206"/>
    <x v="230"/>
    <s v="Standard Class"/>
    <x v="152"/>
    <x v="0"/>
    <s v="Upper Normandy"/>
    <s v="France"/>
    <s v="EU"/>
    <x v="2"/>
    <s v="OFF-FA-10001051"/>
    <x v="0"/>
    <x v="6"/>
    <x v="290"/>
    <n v="86"/>
    <n v="5"/>
    <x v="1"/>
    <n v="32.549999999999997"/>
    <n v="6.26"/>
    <s v="Medium"/>
    <n v="2011"/>
  </r>
  <r>
    <s v="PL-2013-7230"/>
    <x v="207"/>
    <x v="231"/>
    <s v="Standard Class"/>
    <x v="251"/>
    <x v="0"/>
    <s v="Pomerania"/>
    <s v="Poland"/>
    <s v="EMEA"/>
    <x v="4"/>
    <s v="OFF-CAM-10003605"/>
    <x v="0"/>
    <x v="16"/>
    <x v="291"/>
    <n v="23"/>
    <n v="1"/>
    <x v="1"/>
    <n v="1.38"/>
    <n v="2.16"/>
    <s v="Medium"/>
    <n v="2013"/>
  </r>
  <r>
    <s v="ES-2011-5158527"/>
    <x v="208"/>
    <x v="232"/>
    <s v="Standard Class"/>
    <x v="108"/>
    <x v="1"/>
    <s v="North Rhine-Westphalia"/>
    <s v="Germany"/>
    <s v="EU"/>
    <x v="2"/>
    <s v="OFF-LA-10003210"/>
    <x v="0"/>
    <x v="4"/>
    <x v="247"/>
    <n v="35"/>
    <n v="4"/>
    <x v="1"/>
    <n v="10.8"/>
    <n v="5.92"/>
    <s v="High"/>
    <n v="2011"/>
  </r>
  <r>
    <s v="TU-2014-810"/>
    <x v="164"/>
    <x v="233"/>
    <s v="First Class"/>
    <x v="252"/>
    <x v="0"/>
    <s v="Trabzon"/>
    <s v="Turkey"/>
    <s v="EMEA"/>
    <x v="4"/>
    <s v="OFF-AVE-10004148"/>
    <x v="0"/>
    <x v="4"/>
    <x v="292"/>
    <n v="5"/>
    <n v="1"/>
    <x v="3"/>
    <n v="-5.6040000000000001"/>
    <n v="0.99"/>
    <s v="Critical"/>
    <n v="2014"/>
  </r>
  <r>
    <s v="IN-2013-22438"/>
    <x v="209"/>
    <x v="234"/>
    <s v="Second Class"/>
    <x v="253"/>
    <x v="1"/>
    <s v="Karnataka"/>
    <s v="India"/>
    <s v="APAC"/>
    <x v="3"/>
    <s v="TEC-PH-10003784"/>
    <x v="2"/>
    <x v="9"/>
    <x v="293"/>
    <n v="286"/>
    <n v="2"/>
    <x v="1"/>
    <n v="19.98"/>
    <n v="62"/>
    <s v="Critical"/>
    <n v="2013"/>
  </r>
  <r>
    <s v="CA-2014-8860"/>
    <x v="192"/>
    <x v="235"/>
    <s v="Standard Class"/>
    <x v="254"/>
    <x v="2"/>
    <s v="Ontario"/>
    <s v="Canada"/>
    <s v="Canada"/>
    <x v="10"/>
    <s v="OFF-SME-10000018"/>
    <x v="0"/>
    <x v="4"/>
    <x v="294"/>
    <n v="41"/>
    <n v="6"/>
    <x v="1"/>
    <n v="14.76"/>
    <n v="2.82"/>
    <s v="Medium"/>
    <n v="2014"/>
  </r>
  <r>
    <s v="IN-2012-40225"/>
    <x v="184"/>
    <x v="210"/>
    <s v="Standard Class"/>
    <x v="231"/>
    <x v="1"/>
    <s v="Queensland"/>
    <s v="Australia"/>
    <s v="APAC"/>
    <x v="9"/>
    <s v="TEC-CO-10002697"/>
    <x v="2"/>
    <x v="14"/>
    <x v="295"/>
    <n v="1018"/>
    <n v="3"/>
    <x v="2"/>
    <n v="214.857"/>
    <n v="111.07"/>
    <s v="Low"/>
    <n v="2012"/>
  </r>
  <r>
    <s v="IN-2011-50613"/>
    <x v="175"/>
    <x v="236"/>
    <s v="Second Class"/>
    <x v="255"/>
    <x v="0"/>
    <s v="Sichuan"/>
    <s v="China"/>
    <s v="APAC"/>
    <x v="8"/>
    <s v="TEC-CO-10000560"/>
    <x v="2"/>
    <x v="14"/>
    <x v="296"/>
    <n v="1028"/>
    <n v="7"/>
    <x v="1"/>
    <n v="20.37"/>
    <n v="77.63"/>
    <s v="Medium"/>
    <n v="2011"/>
  </r>
  <r>
    <s v="IN-2011-74490"/>
    <x v="210"/>
    <x v="225"/>
    <s v="First Class"/>
    <x v="112"/>
    <x v="1"/>
    <s v="Guangdong"/>
    <s v="China"/>
    <s v="APAC"/>
    <x v="8"/>
    <s v="TEC-AC-10002221"/>
    <x v="2"/>
    <x v="11"/>
    <x v="297"/>
    <n v="169"/>
    <n v="6"/>
    <x v="1"/>
    <n v="20.16"/>
    <n v="21.29"/>
    <s v="High"/>
    <n v="2011"/>
  </r>
  <r>
    <s v="ES-2013-3285041"/>
    <x v="211"/>
    <x v="237"/>
    <s v="Standard Class"/>
    <x v="22"/>
    <x v="2"/>
    <s v="Lazio"/>
    <s v="Italy"/>
    <s v="EU"/>
    <x v="1"/>
    <s v="FUR-BO-10001133"/>
    <x v="1"/>
    <x v="13"/>
    <x v="298"/>
    <n v="1243"/>
    <n v="3"/>
    <x v="1"/>
    <n v="397.62"/>
    <n v="32.26"/>
    <s v="Medium"/>
    <n v="2013"/>
  </r>
  <r>
    <s v="IR-2014-5870"/>
    <x v="192"/>
    <x v="238"/>
    <s v="Standard Class"/>
    <x v="256"/>
    <x v="0"/>
    <s v="Khuzestan"/>
    <s v="Iran"/>
    <s v="EMEA"/>
    <x v="4"/>
    <s v="OFF-SME-10001754"/>
    <x v="0"/>
    <x v="4"/>
    <x v="299"/>
    <n v="9"/>
    <n v="1"/>
    <x v="1"/>
    <n v="4.26"/>
    <n v="0.49"/>
    <s v="Medium"/>
    <n v="2014"/>
  </r>
  <r>
    <s v="IN-2011-38111"/>
    <x v="181"/>
    <x v="239"/>
    <s v="First Class"/>
    <x v="257"/>
    <x v="2"/>
    <s v="New South Wales"/>
    <s v="Australia"/>
    <s v="APAC"/>
    <x v="9"/>
    <s v="OFF-BI-10002386"/>
    <x v="0"/>
    <x v="0"/>
    <x v="191"/>
    <n v="15"/>
    <n v="2"/>
    <x v="2"/>
    <n v="0.32400000000000001"/>
    <n v="1.02"/>
    <s v="High"/>
    <n v="2011"/>
  </r>
  <r>
    <s v="CA-2013-146423"/>
    <x v="169"/>
    <x v="213"/>
    <s v="Same Day"/>
    <x v="143"/>
    <x v="2"/>
    <s v="Connecticut"/>
    <s v="United States"/>
    <s v="US"/>
    <x v="12"/>
    <s v="OFF-PA-10003797"/>
    <x v="0"/>
    <x v="7"/>
    <x v="300"/>
    <n v="52"/>
    <n v="8"/>
    <x v="1"/>
    <n v="24.883199999999999"/>
    <n v="2.37"/>
    <s v="Medium"/>
    <n v="2013"/>
  </r>
  <r>
    <s v="IT-2012-5084286"/>
    <x v="174"/>
    <x v="240"/>
    <s v="First Class"/>
    <x v="258"/>
    <x v="1"/>
    <s v="Lazio"/>
    <s v="Italy"/>
    <s v="EU"/>
    <x v="1"/>
    <s v="TEC-PH-10002907"/>
    <x v="2"/>
    <x v="9"/>
    <x v="301"/>
    <n v="192"/>
    <n v="4"/>
    <x v="5"/>
    <n v="-60.768000000000001"/>
    <n v="21.63"/>
    <s v="Medium"/>
    <n v="2012"/>
  </r>
  <r>
    <s v="ES-2014-5747773"/>
    <x v="203"/>
    <x v="241"/>
    <s v="Standard Class"/>
    <x v="259"/>
    <x v="0"/>
    <s v="Baden-WÃ¼rttemberg"/>
    <s v="Germany"/>
    <s v="EU"/>
    <x v="2"/>
    <s v="OFF-LA-10004972"/>
    <x v="0"/>
    <x v="4"/>
    <x v="302"/>
    <n v="29"/>
    <n v="3"/>
    <x v="1"/>
    <n v="1.08"/>
    <n v="2.5099999999999998"/>
    <s v="Medium"/>
    <n v="2014"/>
  </r>
  <r>
    <s v="US-2014-132031"/>
    <x v="203"/>
    <x v="241"/>
    <s v="Standard Class"/>
    <x v="67"/>
    <x v="1"/>
    <s v="Tennessee"/>
    <s v="United States"/>
    <s v="US"/>
    <x v="1"/>
    <s v="OFF-LA-10000081"/>
    <x v="0"/>
    <x v="4"/>
    <x v="164"/>
    <n v="3"/>
    <n v="1"/>
    <x v="6"/>
    <n v="1.05"/>
    <n v="0.27"/>
    <s v="Medium"/>
    <n v="2014"/>
  </r>
  <r>
    <s v="IN-2012-44474"/>
    <x v="176"/>
    <x v="242"/>
    <s v="Standard Class"/>
    <x v="260"/>
    <x v="2"/>
    <s v="Punjab"/>
    <s v="Pakistan"/>
    <s v="APAC"/>
    <x v="3"/>
    <s v="TEC-AC-10000258"/>
    <x v="2"/>
    <x v="11"/>
    <x v="303"/>
    <n v="58"/>
    <n v="2"/>
    <x v="4"/>
    <n v="-2.34"/>
    <n v="5.21"/>
    <s v="Medium"/>
    <n v="2012"/>
  </r>
  <r>
    <s v="MX-2011-134705"/>
    <x v="208"/>
    <x v="232"/>
    <s v="Standard Class"/>
    <x v="22"/>
    <x v="2"/>
    <s v="San Salvador"/>
    <s v="El Salvador"/>
    <s v="LATAM"/>
    <x v="2"/>
    <s v="FUR-TA-10003926"/>
    <x v="1"/>
    <x v="12"/>
    <x v="304"/>
    <n v="2834"/>
    <n v="10"/>
    <x v="6"/>
    <n v="35.36"/>
    <n v="269.94"/>
    <s v="High"/>
    <n v="2011"/>
  </r>
  <r>
    <s v="CA-2013-167682"/>
    <x v="212"/>
    <x v="243"/>
    <s v="Standard Class"/>
    <x v="261"/>
    <x v="2"/>
    <s v="Indiana"/>
    <s v="United States"/>
    <s v="US"/>
    <x v="2"/>
    <s v="TEC-PH-10000673"/>
    <x v="2"/>
    <x v="9"/>
    <x v="305"/>
    <n v="260"/>
    <n v="4"/>
    <x v="1"/>
    <n v="124.7808"/>
    <n v="11.84"/>
    <s v="Medium"/>
    <n v="2013"/>
  </r>
  <r>
    <s v="IN-2012-31741"/>
    <x v="213"/>
    <x v="244"/>
    <s v="First Class"/>
    <x v="262"/>
    <x v="0"/>
    <s v="Hunan"/>
    <s v="China"/>
    <s v="APAC"/>
    <x v="8"/>
    <s v="OFF-SU-10002214"/>
    <x v="0"/>
    <x v="15"/>
    <x v="306"/>
    <n v="108"/>
    <n v="4"/>
    <x v="1"/>
    <n v="47.52"/>
    <n v="15.8"/>
    <s v="Medium"/>
    <n v="2012"/>
  </r>
  <r>
    <s v="SF-2013-9440"/>
    <x v="214"/>
    <x v="177"/>
    <s v="Second Class"/>
    <x v="263"/>
    <x v="1"/>
    <s v="Gauteng"/>
    <s v="South Africa"/>
    <s v="Africa"/>
    <x v="5"/>
    <s v="TEC-BEL-10003177"/>
    <x v="2"/>
    <x v="11"/>
    <x v="307"/>
    <n v="82"/>
    <n v="1"/>
    <x v="1"/>
    <n v="4.8899999999999997"/>
    <n v="7.83"/>
    <s v="Medium"/>
    <n v="2013"/>
  </r>
  <r>
    <s v="US-2014-153255"/>
    <x v="204"/>
    <x v="245"/>
    <s v="Second Class"/>
    <x v="264"/>
    <x v="2"/>
    <s v="California"/>
    <s v="United States"/>
    <s v="US"/>
    <x v="7"/>
    <s v="FUR-BO-10004218"/>
    <x v="1"/>
    <x v="13"/>
    <x v="308"/>
    <n v="240"/>
    <n v="2"/>
    <x v="12"/>
    <n v="14.098000000000001"/>
    <n v="6.46"/>
    <s v="Medium"/>
    <n v="2014"/>
  </r>
  <r>
    <s v="US-2014-127600"/>
    <x v="215"/>
    <x v="246"/>
    <s v="Standard Class"/>
    <x v="205"/>
    <x v="0"/>
    <s v="Bahia"/>
    <s v="Brazil"/>
    <s v="LATAM"/>
    <x v="1"/>
    <s v="OFF-ST-10004660"/>
    <x v="0"/>
    <x v="3"/>
    <x v="309"/>
    <n v="32"/>
    <n v="6"/>
    <x v="3"/>
    <n v="-41.064"/>
    <n v="2.86"/>
    <s v="Medium"/>
    <n v="2014"/>
  </r>
  <r>
    <s v="IT-2014-5563463"/>
    <x v="189"/>
    <x v="247"/>
    <s v="Standard Class"/>
    <x v="265"/>
    <x v="2"/>
    <s v="Dublin"/>
    <s v="Ireland"/>
    <s v="EU"/>
    <x v="6"/>
    <s v="OFF-LA-10000379"/>
    <x v="0"/>
    <x v="4"/>
    <x v="310"/>
    <n v="11"/>
    <n v="2"/>
    <x v="4"/>
    <n v="-7.74"/>
    <n v="0.28000000000000003"/>
    <s v="Medium"/>
    <n v="2014"/>
  </r>
  <r>
    <s v="ES-2013-3963045"/>
    <x v="216"/>
    <x v="248"/>
    <s v="Standard Class"/>
    <x v="266"/>
    <x v="2"/>
    <s v="Provence-Alpes-CÃ´te d'Azur"/>
    <s v="France"/>
    <s v="EU"/>
    <x v="2"/>
    <s v="OFF-AR-10001228"/>
    <x v="0"/>
    <x v="5"/>
    <x v="173"/>
    <n v="76"/>
    <n v="3"/>
    <x v="1"/>
    <n v="25.11"/>
    <n v="3.99"/>
    <s v="Medium"/>
    <n v="2013"/>
  </r>
  <r>
    <s v="MX-2014-154739"/>
    <x v="192"/>
    <x v="219"/>
    <s v="Second Class"/>
    <x v="267"/>
    <x v="0"/>
    <s v="Artemisa"/>
    <s v="Cuba"/>
    <s v="LATAM"/>
    <x v="11"/>
    <s v="FUR-BO-10002679"/>
    <x v="1"/>
    <x v="13"/>
    <x v="311"/>
    <n v="334"/>
    <n v="4"/>
    <x v="1"/>
    <n v="106.72"/>
    <n v="45.85"/>
    <s v="High"/>
    <n v="2014"/>
  </r>
  <r>
    <s v="IN-2014-33666"/>
    <x v="196"/>
    <x v="249"/>
    <s v="Standard Class"/>
    <x v="268"/>
    <x v="0"/>
    <s v="Perak"/>
    <s v="Malaysia"/>
    <s v="APAC"/>
    <x v="0"/>
    <s v="OFF-BI-10003309"/>
    <x v="0"/>
    <x v="0"/>
    <x v="312"/>
    <n v="53"/>
    <n v="5"/>
    <x v="1"/>
    <n v="13.2"/>
    <n v="4.37"/>
    <s v="Medium"/>
    <n v="2014"/>
  </r>
  <r>
    <s v="US-2014-165267"/>
    <x v="191"/>
    <x v="250"/>
    <s v="Standard Class"/>
    <x v="189"/>
    <x v="0"/>
    <s v="SÃ£o Paulo"/>
    <s v="Brazil"/>
    <s v="LATAM"/>
    <x v="1"/>
    <s v="FUR-TA-10003663"/>
    <x v="1"/>
    <x v="12"/>
    <x v="313"/>
    <n v="525"/>
    <n v="2"/>
    <x v="6"/>
    <n v="-124.664"/>
    <n v="46.48"/>
    <s v="Medium"/>
    <n v="2014"/>
  </r>
  <r>
    <s v="TZ-2014-7370"/>
    <x v="179"/>
    <x v="207"/>
    <s v="Standard Class"/>
    <x v="269"/>
    <x v="0"/>
    <s v="Shinyanga"/>
    <s v="Tanzania"/>
    <s v="Africa"/>
    <x v="5"/>
    <s v="TEC-BRO-10000463"/>
    <x v="2"/>
    <x v="14"/>
    <x v="314"/>
    <n v="527"/>
    <n v="2"/>
    <x v="1"/>
    <n v="226.8"/>
    <n v="27.37"/>
    <s v="Medium"/>
    <n v="2014"/>
  </r>
  <r>
    <s v="CA-2013-123050"/>
    <x v="217"/>
    <x v="251"/>
    <s v="Second Class"/>
    <x v="270"/>
    <x v="1"/>
    <s v="New York"/>
    <s v="United States"/>
    <s v="US"/>
    <x v="12"/>
    <s v="FUR-FU-10000723"/>
    <x v="1"/>
    <x v="2"/>
    <x v="315"/>
    <n v="83"/>
    <n v="2"/>
    <x v="1"/>
    <n v="7.4375999999999998"/>
    <n v="7.27"/>
    <s v="Medium"/>
    <n v="2013"/>
  </r>
  <r>
    <s v="IZ-2011-2730"/>
    <x v="218"/>
    <x v="92"/>
    <s v="First Class"/>
    <x v="271"/>
    <x v="0"/>
    <s v="Ninawa"/>
    <s v="Iraq"/>
    <s v="EMEA"/>
    <x v="4"/>
    <s v="FUR-TEN-10003050"/>
    <x v="1"/>
    <x v="2"/>
    <x v="316"/>
    <n v="52"/>
    <n v="1"/>
    <x v="1"/>
    <n v="14.49"/>
    <n v="7.83"/>
    <s v="High"/>
    <n v="2011"/>
  </r>
  <r>
    <s v="IN-2013-76828"/>
    <x v="219"/>
    <x v="252"/>
    <s v="Standard Class"/>
    <x v="253"/>
    <x v="1"/>
    <s v="Victoria"/>
    <s v="Australia"/>
    <s v="APAC"/>
    <x v="9"/>
    <s v="OFF-AR-10002797"/>
    <x v="0"/>
    <x v="5"/>
    <x v="317"/>
    <n v="85"/>
    <n v="6"/>
    <x v="2"/>
    <n v="18.809999999999999"/>
    <n v="9.48"/>
    <s v="Medium"/>
    <n v="2013"/>
  </r>
  <r>
    <s v="KE-2011-6610"/>
    <x v="220"/>
    <x v="253"/>
    <s v="Standard Class"/>
    <x v="97"/>
    <x v="1"/>
    <s v="Nairobi"/>
    <s v="Kenya"/>
    <s v="Africa"/>
    <x v="5"/>
    <s v="OFF-AVE-10003549"/>
    <x v="0"/>
    <x v="0"/>
    <x v="100"/>
    <n v="49"/>
    <n v="1"/>
    <x v="1"/>
    <n v="21.15"/>
    <n v="4.0599999999999996"/>
    <s v="Medium"/>
    <n v="2011"/>
  </r>
  <r>
    <s v="EG-2013-1510"/>
    <x v="221"/>
    <x v="254"/>
    <s v="Standard Class"/>
    <x v="272"/>
    <x v="2"/>
    <s v="Bani Suwayf"/>
    <s v="Egypt"/>
    <s v="Africa"/>
    <x v="5"/>
    <s v="OFF-ROG-10003993"/>
    <x v="0"/>
    <x v="3"/>
    <x v="222"/>
    <n v="142"/>
    <n v="1"/>
    <x v="1"/>
    <n v="36.81"/>
    <n v="11.32"/>
    <s v="Medium"/>
    <n v="2013"/>
  </r>
  <r>
    <s v="IT-2011-3076849"/>
    <x v="222"/>
    <x v="255"/>
    <s v="Standard Class"/>
    <x v="273"/>
    <x v="2"/>
    <s v="Lazio"/>
    <s v="Italy"/>
    <s v="EU"/>
    <x v="1"/>
    <s v="TEC-CO-10001567"/>
    <x v="2"/>
    <x v="14"/>
    <x v="318"/>
    <n v="524"/>
    <n v="2"/>
    <x v="1"/>
    <n v="5.22"/>
    <n v="52.53"/>
    <s v="Medium"/>
    <n v="2011"/>
  </r>
  <r>
    <s v="IN-2012-33288"/>
    <x v="223"/>
    <x v="256"/>
    <s v="Second Class"/>
    <x v="81"/>
    <x v="1"/>
    <s v="Pahang"/>
    <s v="Malaysia"/>
    <s v="APAC"/>
    <x v="0"/>
    <s v="OFF-ST-10002714"/>
    <x v="0"/>
    <x v="3"/>
    <x v="319"/>
    <n v="11"/>
    <n v="1"/>
    <x v="1"/>
    <n v="4.38"/>
    <n v="1.79"/>
    <s v="High"/>
    <n v="2012"/>
  </r>
  <r>
    <s v="MX-2014-134768"/>
    <x v="224"/>
    <x v="257"/>
    <s v="Standard Class"/>
    <x v="54"/>
    <x v="2"/>
    <s v="Duarte"/>
    <s v="Dominican Republic"/>
    <s v="LATAM"/>
    <x v="11"/>
    <s v="TEC-CO-10003678"/>
    <x v="2"/>
    <x v="14"/>
    <x v="320"/>
    <n v="334"/>
    <n v="5"/>
    <x v="16"/>
    <n v="-17.658200000000001"/>
    <n v="40.479999999999997"/>
    <s v="High"/>
    <n v="2014"/>
  </r>
  <r>
    <s v="CA-2014-117401"/>
    <x v="225"/>
    <x v="258"/>
    <s v="Second Class"/>
    <x v="274"/>
    <x v="1"/>
    <s v="Missouri"/>
    <s v="United States"/>
    <s v="US"/>
    <x v="2"/>
    <s v="TEC-PH-10003555"/>
    <x v="2"/>
    <x v="9"/>
    <x v="321"/>
    <n v="115"/>
    <n v="5"/>
    <x v="1"/>
    <n v="2.2989999999999999"/>
    <n v="13.85"/>
    <s v="Medium"/>
    <n v="2014"/>
  </r>
  <r>
    <s v="CA-2012-9610"/>
    <x v="226"/>
    <x v="259"/>
    <s v="Standard Class"/>
    <x v="0"/>
    <x v="0"/>
    <s v="Ontario"/>
    <s v="Canada"/>
    <s v="Canada"/>
    <x v="10"/>
    <s v="OFF-AME-10004759"/>
    <x v="0"/>
    <x v="16"/>
    <x v="322"/>
    <n v="56"/>
    <n v="2"/>
    <x v="1"/>
    <n v="24.24"/>
    <n v="2.2400000000000002"/>
    <s v="Medium"/>
    <n v="2012"/>
  </r>
  <r>
    <s v="IN-2014-29900"/>
    <x v="227"/>
    <x v="260"/>
    <s v="Standard Class"/>
    <x v="17"/>
    <x v="0"/>
    <s v="Jawa Tengah"/>
    <s v="Indonesia"/>
    <s v="APAC"/>
    <x v="0"/>
    <s v="OFF-ST-10003159"/>
    <x v="0"/>
    <x v="3"/>
    <x v="323"/>
    <n v="121"/>
    <n v="3"/>
    <x v="0"/>
    <n v="1.4499"/>
    <n v="4.58"/>
    <s v="Medium"/>
    <n v="2014"/>
  </r>
  <r>
    <s v="ES-2014-1920688"/>
    <x v="228"/>
    <x v="60"/>
    <s v="Second Class"/>
    <x v="275"/>
    <x v="0"/>
    <s v="England"/>
    <s v="United Kingdom"/>
    <s v="EU"/>
    <x v="6"/>
    <s v="TEC-AC-10004849"/>
    <x v="2"/>
    <x v="11"/>
    <x v="139"/>
    <n v="774"/>
    <n v="3"/>
    <x v="1"/>
    <n v="170.1"/>
    <n v="75.95"/>
    <s v="Medium"/>
    <n v="2014"/>
  </r>
  <r>
    <s v="MX-2012-111976"/>
    <x v="229"/>
    <x v="261"/>
    <s v="First Class"/>
    <x v="240"/>
    <x v="2"/>
    <s v="Santo Domingo"/>
    <s v="Dominican Republic"/>
    <s v="LATAM"/>
    <x v="11"/>
    <s v="OFF-LA-10001800"/>
    <x v="0"/>
    <x v="4"/>
    <x v="324"/>
    <n v="12"/>
    <n v="2"/>
    <x v="6"/>
    <n v="-1.992"/>
    <n v="2.96"/>
    <s v="High"/>
    <n v="2012"/>
  </r>
  <r>
    <s v="UP-2012-8260"/>
    <x v="230"/>
    <x v="262"/>
    <s v="Standard Class"/>
    <x v="27"/>
    <x v="2"/>
    <s v="Dnipropetrovs'k"/>
    <s v="Ukraine"/>
    <s v="EMEA"/>
    <x v="4"/>
    <s v="OFF-IBI-10004074"/>
    <x v="0"/>
    <x v="0"/>
    <x v="325"/>
    <n v="30"/>
    <n v="1"/>
    <x v="1"/>
    <n v="11.94"/>
    <n v="1.91"/>
    <s v="Medium"/>
    <n v="2012"/>
  </r>
  <r>
    <s v="MX-2013-142678"/>
    <x v="231"/>
    <x v="263"/>
    <s v="Standard Class"/>
    <x v="24"/>
    <x v="0"/>
    <s v="Guatemala"/>
    <s v="Guatemala"/>
    <s v="LATAM"/>
    <x v="2"/>
    <s v="OFF-PA-10003571"/>
    <x v="0"/>
    <x v="7"/>
    <x v="326"/>
    <n v="63"/>
    <n v="2"/>
    <x v="1"/>
    <n v="1.24"/>
    <n v="2.71"/>
    <s v="Medium"/>
    <n v="2013"/>
  </r>
  <r>
    <s v="IT-2013-1961543"/>
    <x v="232"/>
    <x v="264"/>
    <s v="Standard Class"/>
    <x v="276"/>
    <x v="2"/>
    <s v="England"/>
    <s v="United Kingdom"/>
    <s v="EU"/>
    <x v="6"/>
    <s v="OFF-AP-10001266"/>
    <x v="0"/>
    <x v="1"/>
    <x v="327"/>
    <n v="249"/>
    <n v="3"/>
    <x v="1"/>
    <n v="112.14"/>
    <n v="20.010000000000002"/>
    <s v="Medium"/>
    <n v="2013"/>
  </r>
  <r>
    <s v="ES-2013-2700361"/>
    <x v="233"/>
    <x v="265"/>
    <s v="Standard Class"/>
    <x v="277"/>
    <x v="2"/>
    <s v="Ile-de-France"/>
    <s v="France"/>
    <s v="EU"/>
    <x v="2"/>
    <s v="OFF-ST-10004377"/>
    <x v="0"/>
    <x v="3"/>
    <x v="222"/>
    <n v="382"/>
    <n v="3"/>
    <x v="2"/>
    <n v="67.941000000000003"/>
    <n v="35.71"/>
    <s v="Medium"/>
    <n v="2013"/>
  </r>
  <r>
    <s v="MX-2012-154088"/>
    <x v="234"/>
    <x v="266"/>
    <s v="Standard Class"/>
    <x v="278"/>
    <x v="2"/>
    <s v="ParÃ¡"/>
    <s v="Brazil"/>
    <s v="LATAM"/>
    <x v="1"/>
    <s v="OFF-PA-10002237"/>
    <x v="0"/>
    <x v="7"/>
    <x v="328"/>
    <n v="66"/>
    <n v="5"/>
    <x v="1"/>
    <n v="31.6"/>
    <n v="4.3"/>
    <s v="Medium"/>
    <n v="2012"/>
  </r>
  <r>
    <s v="CA-2011-169061"/>
    <x v="235"/>
    <x v="267"/>
    <s v="Second Class"/>
    <x v="179"/>
    <x v="2"/>
    <s v="New York"/>
    <s v="United States"/>
    <s v="US"/>
    <x v="12"/>
    <s v="OFF-PA-10001878"/>
    <x v="0"/>
    <x v="7"/>
    <x v="329"/>
    <n v="98"/>
    <n v="2"/>
    <x v="1"/>
    <n v="45.9754"/>
    <n v="10.130000000000001"/>
    <s v="Medium"/>
    <n v="2011"/>
  </r>
  <r>
    <s v="MX-2012-134817"/>
    <x v="236"/>
    <x v="268"/>
    <s v="Standard Class"/>
    <x v="279"/>
    <x v="1"/>
    <s v="Morelos"/>
    <s v="Mexico"/>
    <s v="LATAM"/>
    <x v="6"/>
    <s v="FUR-CH-10001634"/>
    <x v="1"/>
    <x v="8"/>
    <x v="330"/>
    <n v="143"/>
    <n v="2"/>
    <x v="6"/>
    <n v="-17.872"/>
    <n v="5.53"/>
    <s v="Medium"/>
    <n v="2012"/>
  </r>
  <r>
    <s v="ID-2012-51677"/>
    <x v="237"/>
    <x v="269"/>
    <s v="Standard Class"/>
    <x v="84"/>
    <x v="2"/>
    <s v="Jawa Timur"/>
    <s v="Indonesia"/>
    <s v="APAC"/>
    <x v="0"/>
    <s v="OFF-LA-10004919"/>
    <x v="0"/>
    <x v="4"/>
    <x v="331"/>
    <n v="14"/>
    <n v="2"/>
    <x v="13"/>
    <n v="-4.8978000000000002"/>
    <n v="1.51"/>
    <s v="High"/>
    <n v="2012"/>
  </r>
  <r>
    <s v="CA-2014-100748"/>
    <x v="227"/>
    <x v="270"/>
    <s v="Standard Class"/>
    <x v="115"/>
    <x v="1"/>
    <s v="California"/>
    <s v="United States"/>
    <s v="US"/>
    <x v="7"/>
    <s v="OFF-LA-10000240"/>
    <x v="0"/>
    <x v="4"/>
    <x v="34"/>
    <n v="58"/>
    <n v="8"/>
    <x v="1"/>
    <n v="27.485600000000002"/>
    <n v="5.81"/>
    <s v="Medium"/>
    <n v="2014"/>
  </r>
  <r>
    <s v="RO-2011-7220"/>
    <x v="238"/>
    <x v="271"/>
    <s v="Standard Class"/>
    <x v="280"/>
    <x v="0"/>
    <s v="Suceava"/>
    <s v="Romania"/>
    <s v="EMEA"/>
    <x v="4"/>
    <s v="FUR-TEN-10003349"/>
    <x v="1"/>
    <x v="2"/>
    <x v="332"/>
    <n v="49"/>
    <n v="1"/>
    <x v="1"/>
    <n v="16.59"/>
    <n v="3.97"/>
    <s v="Medium"/>
    <n v="2011"/>
  </r>
  <r>
    <s v="GV-2014-9540"/>
    <x v="239"/>
    <x v="272"/>
    <s v="Standard Class"/>
    <x v="192"/>
    <x v="2"/>
    <s v="Kindia"/>
    <s v="Guinea"/>
    <s v="Africa"/>
    <x v="5"/>
    <s v="OFF-AVE-10002892"/>
    <x v="0"/>
    <x v="0"/>
    <x v="333"/>
    <n v="169"/>
    <n v="6"/>
    <x v="1"/>
    <n v="0"/>
    <n v="11.85"/>
    <s v="Medium"/>
    <n v="2014"/>
  </r>
  <r>
    <s v="IN-2013-38685"/>
    <x v="240"/>
    <x v="273"/>
    <s v="Standard Class"/>
    <x v="122"/>
    <x v="1"/>
    <s v="Singapore"/>
    <s v="Singapore"/>
    <s v="APAC"/>
    <x v="0"/>
    <s v="TEC-PH-10000896"/>
    <x v="2"/>
    <x v="9"/>
    <x v="334"/>
    <n v="1215"/>
    <n v="8"/>
    <x v="1"/>
    <n v="413.04"/>
    <n v="178.88"/>
    <s v="High"/>
    <n v="2013"/>
  </r>
  <r>
    <s v="SF-2014-5070"/>
    <x v="241"/>
    <x v="274"/>
    <s v="Standard Class"/>
    <x v="281"/>
    <x v="1"/>
    <s v="Western Cape"/>
    <s v="South Africa"/>
    <s v="Africa"/>
    <x v="5"/>
    <s v="TEC-NOK-10001678"/>
    <x v="2"/>
    <x v="9"/>
    <x v="335"/>
    <n v="339"/>
    <n v="2"/>
    <x v="1"/>
    <n v="67.8"/>
    <n v="45.86"/>
    <s v="High"/>
    <n v="2014"/>
  </r>
  <r>
    <s v="AG-2013-5820"/>
    <x v="233"/>
    <x v="275"/>
    <s v="First Class"/>
    <x v="282"/>
    <x v="0"/>
    <s v="Annaba"/>
    <s v="Algeria"/>
    <s v="Africa"/>
    <x v="5"/>
    <s v="OFF-SME-10004754"/>
    <x v="0"/>
    <x v="4"/>
    <x v="336"/>
    <n v="19"/>
    <n v="4"/>
    <x v="1"/>
    <n v="5.76"/>
    <n v="1.08"/>
    <s v="Medium"/>
    <n v="2013"/>
  </r>
  <r>
    <s v="SF-2013-630"/>
    <x v="240"/>
    <x v="276"/>
    <s v="Standard Class"/>
    <x v="283"/>
    <x v="0"/>
    <s v="Eastern Cape"/>
    <s v="South Africa"/>
    <s v="Africa"/>
    <x v="5"/>
    <s v="TEC-OKI-10000372"/>
    <x v="2"/>
    <x v="10"/>
    <x v="337"/>
    <n v="313"/>
    <n v="1"/>
    <x v="1"/>
    <n v="3.12"/>
    <n v="30.05"/>
    <s v="Medium"/>
    <n v="2013"/>
  </r>
  <r>
    <s v="IN-2014-82036"/>
    <x v="242"/>
    <x v="126"/>
    <s v="Standard Class"/>
    <x v="284"/>
    <x v="2"/>
    <s v="New South Wales"/>
    <s v="Australia"/>
    <s v="APAC"/>
    <x v="9"/>
    <s v="OFF-BI-10000724"/>
    <x v="0"/>
    <x v="0"/>
    <x v="11"/>
    <n v="10"/>
    <n v="2"/>
    <x v="1"/>
    <n v="4.4400000000000004"/>
    <n v="0.42"/>
    <s v="High"/>
    <n v="2014"/>
  </r>
  <r>
    <s v="IN-2014-58236"/>
    <x v="243"/>
    <x v="277"/>
    <s v="Standard Class"/>
    <x v="285"/>
    <x v="2"/>
    <s v="Queensland"/>
    <s v="Australia"/>
    <s v="APAC"/>
    <x v="9"/>
    <s v="OFF-BI-10000206"/>
    <x v="0"/>
    <x v="0"/>
    <x v="338"/>
    <n v="30"/>
    <n v="3"/>
    <x v="2"/>
    <n v="10.053000000000001"/>
    <n v="2.2200000000000002"/>
    <s v="Medium"/>
    <n v="2014"/>
  </r>
  <r>
    <s v="MX-2013-160997"/>
    <x v="233"/>
    <x v="265"/>
    <s v="Standard Class"/>
    <x v="130"/>
    <x v="2"/>
    <s v="Distrito Federal"/>
    <s v="Mexico"/>
    <s v="LATAM"/>
    <x v="6"/>
    <s v="OFF-LA-10000203"/>
    <x v="0"/>
    <x v="4"/>
    <x v="339"/>
    <n v="9"/>
    <n v="2"/>
    <x v="1"/>
    <n v="3.72"/>
    <n v="0.48"/>
    <s v="Medium"/>
    <n v="2013"/>
  </r>
  <r>
    <s v="IN-2014-22137"/>
    <x v="243"/>
    <x v="278"/>
    <s v="Standard Class"/>
    <x v="286"/>
    <x v="1"/>
    <s v="Henan"/>
    <s v="China"/>
    <s v="APAC"/>
    <x v="8"/>
    <s v="OFF-LA-10000244"/>
    <x v="0"/>
    <x v="4"/>
    <x v="340"/>
    <n v="64"/>
    <n v="6"/>
    <x v="1"/>
    <n v="21.06"/>
    <n v="1.51"/>
    <s v="Medium"/>
    <n v="2014"/>
  </r>
  <r>
    <s v="CA-2012-145485"/>
    <x v="244"/>
    <x v="77"/>
    <s v="Same Day"/>
    <x v="131"/>
    <x v="2"/>
    <s v="California"/>
    <s v="United States"/>
    <s v="US"/>
    <x v="7"/>
    <s v="OFF-ST-10000649"/>
    <x v="0"/>
    <x v="3"/>
    <x v="341"/>
    <n v="63"/>
    <n v="4"/>
    <x v="1"/>
    <n v="15.7"/>
    <n v="11.68"/>
    <s v="High"/>
    <n v="2012"/>
  </r>
  <r>
    <s v="IN-2011-45867"/>
    <x v="245"/>
    <x v="279"/>
    <s v="Standard Class"/>
    <x v="287"/>
    <x v="0"/>
    <s v="Australian Capital Territory"/>
    <s v="Australia"/>
    <s v="APAC"/>
    <x v="9"/>
    <s v="FUR-CH-10004312"/>
    <x v="1"/>
    <x v="8"/>
    <x v="37"/>
    <n v="85"/>
    <n v="3"/>
    <x v="5"/>
    <n v="-22.77"/>
    <n v="8.8800000000000008"/>
    <s v="High"/>
    <n v="2011"/>
  </r>
  <r>
    <s v="US-2011-160444"/>
    <x v="246"/>
    <x v="280"/>
    <s v="Same Day"/>
    <x v="288"/>
    <x v="2"/>
    <s v="Texas"/>
    <s v="United States"/>
    <s v="US"/>
    <x v="2"/>
    <s v="OFF-ST-10000563"/>
    <x v="0"/>
    <x v="3"/>
    <x v="342"/>
    <n v="281"/>
    <n v="11"/>
    <x v="6"/>
    <n v="-35.177999999999997"/>
    <n v="5.28"/>
    <s v="Medium"/>
    <n v="2011"/>
  </r>
  <r>
    <s v="CA-2014-109757"/>
    <x v="224"/>
    <x v="228"/>
    <s v="Second Class"/>
    <x v="241"/>
    <x v="2"/>
    <s v="Ohio"/>
    <s v="United States"/>
    <s v="US"/>
    <x v="12"/>
    <s v="OFF-AR-10002335"/>
    <x v="0"/>
    <x v="5"/>
    <x v="343"/>
    <n v="8"/>
    <n v="4"/>
    <x v="6"/>
    <n v="0.61919999999999997"/>
    <n v="0.63"/>
    <s v="Medium"/>
    <n v="2014"/>
  </r>
  <r>
    <s v="CA-2013-133725"/>
    <x v="247"/>
    <x v="281"/>
    <s v="Standard Class"/>
    <x v="289"/>
    <x v="2"/>
    <s v="Illinois"/>
    <s v="United States"/>
    <s v="US"/>
    <x v="2"/>
    <s v="TEC-PH-10004165"/>
    <x v="2"/>
    <x v="9"/>
    <x v="344"/>
    <n v="1980"/>
    <n v="9"/>
    <x v="6"/>
    <n v="148.49459999999999"/>
    <n v="142.88999999999999"/>
    <s v="Medium"/>
    <n v="2013"/>
  </r>
  <r>
    <s v="MX-2014-163195"/>
    <x v="248"/>
    <x v="282"/>
    <s v="Second Class"/>
    <x v="290"/>
    <x v="1"/>
    <s v="Santiago"/>
    <s v="Chile"/>
    <s v="LATAM"/>
    <x v="1"/>
    <s v="OFF-PA-10003224"/>
    <x v="0"/>
    <x v="7"/>
    <x v="345"/>
    <n v="18"/>
    <n v="1"/>
    <x v="1"/>
    <n v="2.64"/>
    <n v="2.31"/>
    <s v="High"/>
    <n v="2014"/>
  </r>
  <r>
    <s v="TZ-2014-5550"/>
    <x v="249"/>
    <x v="283"/>
    <s v="First Class"/>
    <x v="291"/>
    <x v="0"/>
    <s v="Mwanza"/>
    <s v="Tanzania"/>
    <s v="Africa"/>
    <x v="5"/>
    <s v="OFF-ELI-10003277"/>
    <x v="0"/>
    <x v="15"/>
    <x v="346"/>
    <n v="27"/>
    <n v="1"/>
    <x v="1"/>
    <n v="11.19"/>
    <n v="6.55"/>
    <s v="Critical"/>
    <n v="2014"/>
  </r>
  <r>
    <s v="US-2011-144078"/>
    <x v="250"/>
    <x v="284"/>
    <s v="First Class"/>
    <x v="292"/>
    <x v="1"/>
    <s v="Zulia"/>
    <s v="Venezuela"/>
    <s v="LATAM"/>
    <x v="1"/>
    <s v="OFF-AP-10003588"/>
    <x v="0"/>
    <x v="1"/>
    <x v="347"/>
    <n v="1054"/>
    <n v="5"/>
    <x v="5"/>
    <n v="-316.27999999999997"/>
    <n v="45.24"/>
    <s v="Medium"/>
    <n v="2011"/>
  </r>
  <r>
    <s v="ES-2014-1398657"/>
    <x v="224"/>
    <x v="285"/>
    <s v="Standard Class"/>
    <x v="232"/>
    <x v="0"/>
    <s v="Baden-WÃ¼rttemberg"/>
    <s v="Germany"/>
    <s v="EU"/>
    <x v="2"/>
    <s v="OFF-FA-10000189"/>
    <x v="0"/>
    <x v="6"/>
    <x v="348"/>
    <n v="97"/>
    <n v="7"/>
    <x v="1"/>
    <n v="23.1"/>
    <n v="10.38"/>
    <s v="Low"/>
    <n v="2014"/>
  </r>
  <r>
    <s v="EG-2013-4530"/>
    <x v="251"/>
    <x v="78"/>
    <s v="Second Class"/>
    <x v="105"/>
    <x v="1"/>
    <s v="Suhaj"/>
    <s v="Egypt"/>
    <s v="Africa"/>
    <x v="5"/>
    <s v="FUR-SAU-10004653"/>
    <x v="1"/>
    <x v="13"/>
    <x v="349"/>
    <n v="2616"/>
    <n v="6"/>
    <x v="1"/>
    <n v="1072.44"/>
    <n v="384.41"/>
    <s v="Critical"/>
    <n v="2013"/>
  </r>
  <r>
    <s v="AO-2011-9910"/>
    <x v="252"/>
    <x v="286"/>
    <s v="Standard Class"/>
    <x v="83"/>
    <x v="0"/>
    <s v="Luanda"/>
    <s v="Angola"/>
    <s v="Africa"/>
    <x v="5"/>
    <s v="OFF-HAR-10002083"/>
    <x v="0"/>
    <x v="4"/>
    <x v="350"/>
    <n v="29"/>
    <n v="4"/>
    <x v="1"/>
    <n v="11.04"/>
    <n v="2.19"/>
    <s v="Medium"/>
    <n v="2011"/>
  </r>
  <r>
    <s v="IN-2014-74805"/>
    <x v="227"/>
    <x v="287"/>
    <s v="Second Class"/>
    <x v="178"/>
    <x v="1"/>
    <s v="Inner Mongolia"/>
    <s v="China"/>
    <s v="APAC"/>
    <x v="8"/>
    <s v="OFF-FA-10001184"/>
    <x v="0"/>
    <x v="6"/>
    <x v="351"/>
    <n v="17"/>
    <n v="2"/>
    <x v="1"/>
    <n v="0.78"/>
    <n v="3.72"/>
    <s v="High"/>
    <n v="2014"/>
  </r>
  <r>
    <s v="ES-2013-5113556"/>
    <x v="247"/>
    <x v="288"/>
    <s v="Standard Class"/>
    <x v="78"/>
    <x v="2"/>
    <s v="England"/>
    <s v="United Kingdom"/>
    <s v="EU"/>
    <x v="6"/>
    <s v="OFF-ST-10002555"/>
    <x v="0"/>
    <x v="3"/>
    <x v="352"/>
    <n v="397"/>
    <n v="2"/>
    <x v="1"/>
    <n v="194.4"/>
    <n v="40.72"/>
    <s v="Low"/>
    <n v="2013"/>
  </r>
  <r>
    <s v="IT-2013-1109084"/>
    <x v="233"/>
    <x v="289"/>
    <s v="Standard Class"/>
    <x v="293"/>
    <x v="2"/>
    <s v="Ile-de-France"/>
    <s v="France"/>
    <s v="EU"/>
    <x v="2"/>
    <s v="OFF-ST-10003785"/>
    <x v="0"/>
    <x v="3"/>
    <x v="353"/>
    <n v="534"/>
    <n v="3"/>
    <x v="2"/>
    <n v="-6.3E-2"/>
    <n v="30.27"/>
    <s v="Medium"/>
    <n v="2013"/>
  </r>
  <r>
    <s v="CG-2013-2860"/>
    <x v="253"/>
    <x v="290"/>
    <s v="Second Class"/>
    <x v="294"/>
    <x v="2"/>
    <s v="Maniema"/>
    <s v="Democratic Republic of the Congo"/>
    <s v="Africa"/>
    <x v="5"/>
    <s v="OFF-BIC-10002440"/>
    <x v="0"/>
    <x v="5"/>
    <x v="354"/>
    <n v="49"/>
    <n v="1"/>
    <x v="1"/>
    <n v="8.73"/>
    <n v="5.9"/>
    <s v="Medium"/>
    <n v="2013"/>
  </r>
  <r>
    <s v="CA-2011-151001"/>
    <x v="254"/>
    <x v="291"/>
    <s v="First Class"/>
    <x v="140"/>
    <x v="0"/>
    <s v="Illinois"/>
    <s v="United States"/>
    <s v="US"/>
    <x v="2"/>
    <s v="OFF-ST-10001031"/>
    <x v="0"/>
    <x v="3"/>
    <x v="355"/>
    <n v="52"/>
    <n v="4"/>
    <x v="6"/>
    <n v="3.9072"/>
    <n v="8.42"/>
    <s v="Medium"/>
    <n v="2011"/>
  </r>
  <r>
    <s v="IN-2011-30292"/>
    <x v="255"/>
    <x v="292"/>
    <s v="Standard Class"/>
    <x v="262"/>
    <x v="0"/>
    <s v="Dhaka"/>
    <s v="Bangladesh"/>
    <s v="APAC"/>
    <x v="3"/>
    <s v="TEC-AC-10000866"/>
    <x v="2"/>
    <x v="11"/>
    <x v="356"/>
    <n v="3079"/>
    <n v="12"/>
    <x v="1"/>
    <n v="523.08000000000004"/>
    <n v="474.44"/>
    <s v="High"/>
    <n v="2011"/>
  </r>
  <r>
    <s v="ES-2012-5566593"/>
    <x v="256"/>
    <x v="293"/>
    <s v="Second Class"/>
    <x v="145"/>
    <x v="2"/>
    <s v="Ile-de-France"/>
    <s v="France"/>
    <s v="EU"/>
    <x v="2"/>
    <s v="FUR-CH-10002585"/>
    <x v="1"/>
    <x v="8"/>
    <x v="357"/>
    <n v="852"/>
    <n v="2"/>
    <x v="2"/>
    <n v="179.958"/>
    <n v="38.450000000000003"/>
    <s v="Medium"/>
    <n v="2012"/>
  </r>
  <r>
    <s v="LY-2014-6400"/>
    <x v="243"/>
    <x v="277"/>
    <s v="Standard Class"/>
    <x v="295"/>
    <x v="2"/>
    <s v="Banghazi"/>
    <s v="Libya"/>
    <s v="Africa"/>
    <x v="5"/>
    <s v="OFF-STA-10003908"/>
    <x v="0"/>
    <x v="5"/>
    <x v="358"/>
    <n v="15"/>
    <n v="1"/>
    <x v="1"/>
    <n v="2.94"/>
    <n v="0.14000000000000001"/>
    <s v="Medium"/>
    <n v="2014"/>
  </r>
  <r>
    <s v="RW-2012-600"/>
    <x v="257"/>
    <x v="294"/>
    <s v="Standard Class"/>
    <x v="229"/>
    <x v="2"/>
    <s v="Kigali"/>
    <s v="Rwanda"/>
    <s v="Africa"/>
    <x v="5"/>
    <s v="OFF-STO-10003082"/>
    <x v="0"/>
    <x v="6"/>
    <x v="351"/>
    <n v="17"/>
    <n v="2"/>
    <x v="1"/>
    <n v="7.08"/>
    <n v="1.39"/>
    <s v="Medium"/>
    <n v="2012"/>
  </r>
  <r>
    <s v="UP-2014-3650"/>
    <x v="227"/>
    <x v="295"/>
    <s v="Standard Class"/>
    <x v="296"/>
    <x v="0"/>
    <s v="Vinnytsya"/>
    <s v="Ukraine"/>
    <s v="EMEA"/>
    <x v="4"/>
    <s v="FUR-TEN-10003552"/>
    <x v="1"/>
    <x v="2"/>
    <x v="359"/>
    <n v="189"/>
    <n v="4"/>
    <x v="1"/>
    <n v="83.16"/>
    <n v="11.12"/>
    <s v="Medium"/>
    <n v="2014"/>
  </r>
  <r>
    <s v="MX-2013-134180"/>
    <x v="231"/>
    <x v="263"/>
    <s v="Standard Class"/>
    <x v="297"/>
    <x v="1"/>
    <s v="Las Tunas"/>
    <s v="Cuba"/>
    <s v="LATAM"/>
    <x v="11"/>
    <s v="OFF-SU-10003966"/>
    <x v="0"/>
    <x v="15"/>
    <x v="360"/>
    <n v="25"/>
    <n v="1"/>
    <x v="1"/>
    <n v="9.4"/>
    <n v="0.92"/>
    <s v="Medium"/>
    <n v="2013"/>
  </r>
  <r>
    <s v="TU-2013-3550"/>
    <x v="253"/>
    <x v="296"/>
    <s v="Standard Class"/>
    <x v="298"/>
    <x v="2"/>
    <s v="Eskisehir"/>
    <s v="Turkey"/>
    <s v="EMEA"/>
    <x v="4"/>
    <s v="OFF-ELD-10003038"/>
    <x v="0"/>
    <x v="3"/>
    <x v="361"/>
    <n v="77"/>
    <n v="4"/>
    <x v="3"/>
    <n v="-64.007999999999996"/>
    <n v="5.22"/>
    <s v="Medium"/>
    <n v="2013"/>
  </r>
  <r>
    <s v="IN-2011-26967"/>
    <x v="218"/>
    <x v="297"/>
    <s v="Standard Class"/>
    <x v="104"/>
    <x v="2"/>
    <s v="Jawa Barat"/>
    <s v="Indonesia"/>
    <s v="APAC"/>
    <x v="0"/>
    <s v="TEC-MA-10001811"/>
    <x v="2"/>
    <x v="10"/>
    <x v="362"/>
    <n v="876"/>
    <n v="6"/>
    <x v="0"/>
    <n v="-137.34899999999999"/>
    <n v="8.6"/>
    <s v="Medium"/>
    <n v="2011"/>
  </r>
  <r>
    <s v="CA-2013-111913"/>
    <x v="258"/>
    <x v="68"/>
    <s v="Second Class"/>
    <x v="299"/>
    <x v="0"/>
    <s v="California"/>
    <s v="United States"/>
    <s v="US"/>
    <x v="7"/>
    <s v="TEC-PH-10002275"/>
    <x v="2"/>
    <x v="9"/>
    <x v="363"/>
    <n v="302"/>
    <n v="2"/>
    <x v="6"/>
    <n v="30.238399999999999"/>
    <n v="0.06"/>
    <s v="Medium"/>
    <n v="2013"/>
  </r>
  <r>
    <s v="CA-2012-166604"/>
    <x v="259"/>
    <x v="298"/>
    <s v="Second Class"/>
    <x v="300"/>
    <x v="0"/>
    <s v="Georgia"/>
    <s v="United States"/>
    <s v="US"/>
    <x v="1"/>
    <s v="OFF-EN-10004147"/>
    <x v="0"/>
    <x v="16"/>
    <x v="364"/>
    <n v="18"/>
    <n v="3"/>
    <x v="1"/>
    <n v="8.7905999999999995"/>
    <n v="2.4300000000000002"/>
    <s v="High"/>
    <n v="2012"/>
  </r>
  <r>
    <s v="CA-2011-127166"/>
    <x v="250"/>
    <x v="279"/>
    <s v="Second Class"/>
    <x v="301"/>
    <x v="2"/>
    <s v="Texas"/>
    <s v="United States"/>
    <s v="US"/>
    <x v="2"/>
    <s v="OFF-BI-10000977"/>
    <x v="0"/>
    <x v="0"/>
    <x v="365"/>
    <n v="18"/>
    <n v="3"/>
    <x v="15"/>
    <n v="-31.007999999999999"/>
    <n v="4.5199999999999996"/>
    <s v="Critical"/>
    <n v="2011"/>
  </r>
  <r>
    <s v="CA-2013-149783"/>
    <x v="232"/>
    <x v="99"/>
    <s v="Second Class"/>
    <x v="302"/>
    <x v="2"/>
    <s v="Tennessee"/>
    <s v="United States"/>
    <s v="US"/>
    <x v="1"/>
    <s v="OFF-AR-10002987"/>
    <x v="0"/>
    <x v="5"/>
    <x v="366"/>
    <n v="32"/>
    <n v="2"/>
    <x v="6"/>
    <n v="8.3328000000000007"/>
    <n v="6.98"/>
    <s v="Critical"/>
    <n v="2013"/>
  </r>
  <r>
    <s v="ML-2014-720"/>
    <x v="260"/>
    <x v="85"/>
    <s v="Standard Class"/>
    <x v="303"/>
    <x v="2"/>
    <s v="Bamako"/>
    <s v="Mali"/>
    <s v="Africa"/>
    <x v="5"/>
    <s v="OFF-FEL-10001343"/>
    <x v="0"/>
    <x v="3"/>
    <x v="367"/>
    <n v="19"/>
    <n v="1"/>
    <x v="1"/>
    <n v="8.61"/>
    <n v="2.48"/>
    <s v="High"/>
    <n v="2014"/>
  </r>
  <r>
    <s v="IN-2013-76681"/>
    <x v="221"/>
    <x v="281"/>
    <s v="Standard Class"/>
    <x v="66"/>
    <x v="2"/>
    <s v="Riau"/>
    <s v="Indonesia"/>
    <s v="APAC"/>
    <x v="0"/>
    <s v="OFF-LA-10000784"/>
    <x v="0"/>
    <x v="4"/>
    <x v="368"/>
    <n v="15"/>
    <n v="3"/>
    <x v="13"/>
    <n v="0.82079999999999997"/>
    <n v="1.21"/>
    <s v="Medium"/>
    <n v="2013"/>
  </r>
  <r>
    <s v="ES-2012-2268105"/>
    <x v="261"/>
    <x v="299"/>
    <s v="Standard Class"/>
    <x v="304"/>
    <x v="2"/>
    <s v="Lazio"/>
    <s v="Italy"/>
    <s v="EU"/>
    <x v="1"/>
    <s v="TEC-PH-10004601"/>
    <x v="2"/>
    <x v="9"/>
    <x v="369"/>
    <n v="200"/>
    <n v="2"/>
    <x v="5"/>
    <n v="-83.412000000000006"/>
    <n v="11.02"/>
    <s v="Medium"/>
    <n v="2012"/>
  </r>
  <r>
    <s v="IN-2014-72747"/>
    <x v="262"/>
    <x v="300"/>
    <s v="Second Class"/>
    <x v="48"/>
    <x v="0"/>
    <s v="Henan"/>
    <s v="China"/>
    <s v="APAC"/>
    <x v="8"/>
    <s v="TEC-CO-10004605"/>
    <x v="2"/>
    <x v="14"/>
    <x v="370"/>
    <n v="1716"/>
    <n v="7"/>
    <x v="1"/>
    <n v="840.63"/>
    <n v="13.53"/>
    <s v="Medium"/>
    <n v="2014"/>
  </r>
  <r>
    <s v="CA-2012-132941"/>
    <x v="236"/>
    <x v="301"/>
    <s v="First Class"/>
    <x v="198"/>
    <x v="0"/>
    <s v="Texas"/>
    <s v="United States"/>
    <s v="US"/>
    <x v="2"/>
    <s v="OFF-PA-10002160"/>
    <x v="0"/>
    <x v="7"/>
    <x v="371"/>
    <n v="32"/>
    <n v="7"/>
    <x v="6"/>
    <n v="11.7334"/>
    <n v="9.69"/>
    <s v="High"/>
    <n v="2012"/>
  </r>
  <r>
    <s v="MX-2013-121405"/>
    <x v="263"/>
    <x v="276"/>
    <s v="Standard Class"/>
    <x v="16"/>
    <x v="2"/>
    <s v="Oruro"/>
    <s v="Bolivia"/>
    <s v="LATAM"/>
    <x v="1"/>
    <s v="OFF-PA-10002219"/>
    <x v="0"/>
    <x v="7"/>
    <x v="372"/>
    <n v="85"/>
    <n v="7"/>
    <x v="1"/>
    <n v="40.46"/>
    <n v="8.66"/>
    <s v="High"/>
    <n v="2013"/>
  </r>
  <r>
    <s v="IN-2012-66342"/>
    <x v="264"/>
    <x v="302"/>
    <s v="First Class"/>
    <x v="36"/>
    <x v="2"/>
    <s v="Madhya Pradesh"/>
    <s v="India"/>
    <s v="APAC"/>
    <x v="3"/>
    <s v="TEC-AC-10000642"/>
    <x v="2"/>
    <x v="11"/>
    <x v="373"/>
    <n v="31"/>
    <n v="1"/>
    <x v="1"/>
    <n v="11.88"/>
    <n v="2.39"/>
    <s v="Critical"/>
    <n v="2012"/>
  </r>
  <r>
    <s v="ID-2013-77248"/>
    <x v="240"/>
    <x v="276"/>
    <s v="Standard Class"/>
    <x v="110"/>
    <x v="0"/>
    <s v="Ho ChÃ­ Minh City"/>
    <s v="Vietnam"/>
    <s v="APAC"/>
    <x v="0"/>
    <s v="FUR-FU-10004797"/>
    <x v="1"/>
    <x v="2"/>
    <x v="374"/>
    <n v="49"/>
    <n v="3"/>
    <x v="17"/>
    <n v="-6.6905999999999999"/>
    <n v="3.65"/>
    <s v="Medium"/>
    <n v="2013"/>
  </r>
  <r>
    <s v="MX-2012-145653"/>
    <x v="265"/>
    <x v="303"/>
    <s v="Second Class"/>
    <x v="305"/>
    <x v="0"/>
    <s v="Managua"/>
    <s v="Nicaragua"/>
    <s v="LATAM"/>
    <x v="2"/>
    <s v="OFF-PA-10004600"/>
    <x v="0"/>
    <x v="7"/>
    <x v="375"/>
    <n v="60"/>
    <n v="2"/>
    <x v="1"/>
    <n v="20.36"/>
    <n v="8.52"/>
    <s v="Medium"/>
    <n v="2012"/>
  </r>
  <r>
    <s v="SA-2014-8450"/>
    <x v="266"/>
    <x v="304"/>
    <s v="Second Class"/>
    <x v="306"/>
    <x v="2"/>
    <s v="Makkah"/>
    <s v="Saudi Arabia"/>
    <s v="EMEA"/>
    <x v="4"/>
    <s v="FUR-NOV-10000847"/>
    <x v="1"/>
    <x v="8"/>
    <x v="376"/>
    <n v="456"/>
    <n v="1"/>
    <x v="1"/>
    <n v="59.19"/>
    <n v="55.22"/>
    <s v="High"/>
    <n v="2014"/>
  </r>
  <r>
    <s v="ES-2013-3508441"/>
    <x v="240"/>
    <x v="276"/>
    <s v="Standard Class"/>
    <x v="109"/>
    <x v="2"/>
    <s v="RhÃ´ne-Alpes"/>
    <s v="France"/>
    <s v="EU"/>
    <x v="2"/>
    <s v="OFF-AP-10000806"/>
    <x v="0"/>
    <x v="1"/>
    <x v="377"/>
    <n v="256"/>
    <n v="4"/>
    <x v="2"/>
    <n v="31.271999999999998"/>
    <n v="16.899999999999999"/>
    <s v="Medium"/>
    <n v="2013"/>
  </r>
  <r>
    <s v="GH-2014-2090"/>
    <x v="239"/>
    <x v="258"/>
    <s v="Standard Class"/>
    <x v="307"/>
    <x v="2"/>
    <s v="Greater Accra"/>
    <s v="Ghana"/>
    <s v="Africa"/>
    <x v="5"/>
    <s v="OFF-STI-10003234"/>
    <x v="0"/>
    <x v="15"/>
    <x v="378"/>
    <n v="84"/>
    <n v="2"/>
    <x v="1"/>
    <n v="28.62"/>
    <n v="3.57"/>
    <s v="Medium"/>
    <n v="2014"/>
  </r>
  <r>
    <s v="MX-2013-123015"/>
    <x v="231"/>
    <x v="149"/>
    <s v="Same Day"/>
    <x v="308"/>
    <x v="1"/>
    <s v="Managua"/>
    <s v="Nicaragua"/>
    <s v="LATAM"/>
    <x v="2"/>
    <s v="OFF-AR-10002486"/>
    <x v="0"/>
    <x v="5"/>
    <x v="171"/>
    <n v="39"/>
    <n v="2"/>
    <x v="1"/>
    <n v="11.2"/>
    <n v="6.9"/>
    <s v="Critical"/>
    <n v="2013"/>
  </r>
  <r>
    <s v="ES-2013-2757712"/>
    <x v="263"/>
    <x v="276"/>
    <s v="Second Class"/>
    <x v="309"/>
    <x v="2"/>
    <s v="Bremen"/>
    <s v="Germany"/>
    <s v="EU"/>
    <x v="2"/>
    <s v="TEC-PH-10002759"/>
    <x v="2"/>
    <x v="9"/>
    <x v="379"/>
    <n v="2606"/>
    <n v="4"/>
    <x v="1"/>
    <n v="1042.32"/>
    <n v="326.05"/>
    <s v="High"/>
    <n v="2013"/>
  </r>
  <r>
    <s v="CA-2013-122728"/>
    <x v="267"/>
    <x v="305"/>
    <s v="Standard Class"/>
    <x v="310"/>
    <x v="2"/>
    <s v="California"/>
    <s v="United States"/>
    <s v="US"/>
    <x v="7"/>
    <s v="OFF-PA-10004040"/>
    <x v="0"/>
    <x v="7"/>
    <x v="380"/>
    <n v="18"/>
    <n v="3"/>
    <x v="1"/>
    <n v="8.7905999999999995"/>
    <n v="2.2200000000000002"/>
    <s v="Medium"/>
    <n v="2013"/>
  </r>
  <r>
    <s v="ID-2014-51803"/>
    <x v="228"/>
    <x v="306"/>
    <s v="First Class"/>
    <x v="311"/>
    <x v="1"/>
    <s v="Jakarta"/>
    <s v="Indonesia"/>
    <s v="APAC"/>
    <x v="0"/>
    <s v="OFF-FA-10004659"/>
    <x v="0"/>
    <x v="6"/>
    <x v="106"/>
    <n v="27"/>
    <n v="4"/>
    <x v="13"/>
    <n v="-7.8048000000000002"/>
    <n v="5.28"/>
    <s v="High"/>
    <n v="2014"/>
  </r>
  <r>
    <s v="RS-2011-1890"/>
    <x v="268"/>
    <x v="307"/>
    <s v="Standard Class"/>
    <x v="152"/>
    <x v="0"/>
    <s v="Belgorod"/>
    <s v="Russia"/>
    <s v="EMEA"/>
    <x v="4"/>
    <s v="FUR-HAR-10000441"/>
    <x v="1"/>
    <x v="8"/>
    <x v="381"/>
    <n v="150"/>
    <n v="1"/>
    <x v="1"/>
    <n v="47.85"/>
    <n v="7.57"/>
    <s v="Medium"/>
    <n v="2011"/>
  </r>
  <r>
    <s v="CA-2012-144386"/>
    <x v="244"/>
    <x v="308"/>
    <s v="Standard Class"/>
    <x v="312"/>
    <x v="0"/>
    <s v="New York"/>
    <s v="United States"/>
    <s v="US"/>
    <x v="12"/>
    <s v="OFF-BI-10001116"/>
    <x v="0"/>
    <x v="0"/>
    <x v="382"/>
    <n v="25"/>
    <n v="6"/>
    <x v="6"/>
    <n v="8.8704000000000001"/>
    <n v="2.65"/>
    <s v="Low"/>
    <n v="2012"/>
  </r>
  <r>
    <s v="MX-2011-147718"/>
    <x v="269"/>
    <x v="309"/>
    <s v="Standard Class"/>
    <x v="152"/>
    <x v="0"/>
    <s v="San Salvador"/>
    <s v="El Salvador"/>
    <s v="LATAM"/>
    <x v="2"/>
    <s v="OFF-SU-10002466"/>
    <x v="0"/>
    <x v="15"/>
    <x v="383"/>
    <n v="130"/>
    <n v="4"/>
    <x v="1"/>
    <n v="18.079999999999998"/>
    <n v="15.37"/>
    <s v="Low"/>
    <n v="2011"/>
  </r>
  <r>
    <s v="MX-2012-153780"/>
    <x v="270"/>
    <x v="310"/>
    <s v="Standard Class"/>
    <x v="313"/>
    <x v="2"/>
    <s v="Sonsonate"/>
    <s v="El Salvador"/>
    <s v="LATAM"/>
    <x v="2"/>
    <s v="OFF-FA-10004258"/>
    <x v="0"/>
    <x v="6"/>
    <x v="384"/>
    <n v="47"/>
    <n v="5"/>
    <x v="1"/>
    <n v="20.100000000000001"/>
    <n v="2.67"/>
    <s v="Low"/>
    <n v="2012"/>
  </r>
  <r>
    <s v="MX-2013-131387"/>
    <x v="271"/>
    <x v="311"/>
    <s v="Standard Class"/>
    <x v="199"/>
    <x v="2"/>
    <s v="Managua"/>
    <s v="Nicaragua"/>
    <s v="LATAM"/>
    <x v="2"/>
    <s v="OFF-PA-10004854"/>
    <x v="0"/>
    <x v="7"/>
    <x v="385"/>
    <n v="64"/>
    <n v="2"/>
    <x v="1"/>
    <n v="12.2"/>
    <n v="10.130000000000001"/>
    <s v="High"/>
    <n v="2013"/>
  </r>
  <r>
    <s v="US-2012-103814"/>
    <x v="244"/>
    <x v="308"/>
    <s v="Standard Class"/>
    <x v="314"/>
    <x v="1"/>
    <s v="Panama"/>
    <s v="Panama"/>
    <s v="LATAM"/>
    <x v="2"/>
    <s v="OFF-AP-10002625"/>
    <x v="0"/>
    <x v="1"/>
    <x v="386"/>
    <n v="111"/>
    <n v="1"/>
    <x v="5"/>
    <n v="-40.764000000000003"/>
    <n v="6.94"/>
    <s v="Medium"/>
    <n v="2012"/>
  </r>
  <r>
    <s v="ID-2013-52370"/>
    <x v="272"/>
    <x v="312"/>
    <s v="Standard Class"/>
    <x v="170"/>
    <x v="2"/>
    <s v="Jakarta"/>
    <s v="Indonesia"/>
    <s v="APAC"/>
    <x v="0"/>
    <s v="FUR-CH-10002573"/>
    <x v="1"/>
    <x v="8"/>
    <x v="387"/>
    <n v="1697"/>
    <n v="5"/>
    <x v="17"/>
    <n v="-232.5"/>
    <n v="103.96"/>
    <s v="Medium"/>
    <n v="2013"/>
  </r>
  <r>
    <s v="US-2011-119935"/>
    <x v="273"/>
    <x v="313"/>
    <s v="Standard Class"/>
    <x v="186"/>
    <x v="2"/>
    <s v="Panama"/>
    <s v="Panama"/>
    <s v="LATAM"/>
    <x v="2"/>
    <s v="FUR-FU-10000499"/>
    <x v="1"/>
    <x v="2"/>
    <x v="388"/>
    <n v="23"/>
    <n v="3"/>
    <x v="5"/>
    <n v="-0.79200000000000004"/>
    <n v="1.36"/>
    <s v="Medium"/>
    <n v="2011"/>
  </r>
  <r>
    <s v="ES-2011-2464932"/>
    <x v="274"/>
    <x v="314"/>
    <s v="First Class"/>
    <x v="315"/>
    <x v="0"/>
    <s v="RhÃ´ne-Alpes"/>
    <s v="France"/>
    <s v="EU"/>
    <x v="2"/>
    <s v="OFF-FA-10001892"/>
    <x v="0"/>
    <x v="6"/>
    <x v="389"/>
    <n v="58"/>
    <n v="3"/>
    <x v="1"/>
    <n v="26.73"/>
    <n v="16.600000000000001"/>
    <s v="High"/>
    <n v="2011"/>
  </r>
  <r>
    <s v="CA-2013-100300"/>
    <x v="275"/>
    <x v="315"/>
    <s v="Second Class"/>
    <x v="316"/>
    <x v="2"/>
    <s v="California"/>
    <s v="United States"/>
    <s v="US"/>
    <x v="7"/>
    <s v="OFF-PA-10000418"/>
    <x v="0"/>
    <x v="7"/>
    <x v="390"/>
    <n v="105"/>
    <n v="1"/>
    <x v="1"/>
    <n v="50.328000000000003"/>
    <n v="12.47"/>
    <s v="High"/>
    <n v="2013"/>
  </r>
  <r>
    <s v="ID-2014-39441"/>
    <x v="276"/>
    <x v="316"/>
    <s v="Second Class"/>
    <x v="317"/>
    <x v="2"/>
    <s v="Kalimantan Timur"/>
    <s v="Indonesia"/>
    <s v="APAC"/>
    <x v="0"/>
    <s v="FUR-FU-10004995"/>
    <x v="1"/>
    <x v="2"/>
    <x v="391"/>
    <n v="23"/>
    <n v="2"/>
    <x v="17"/>
    <n v="-1.9308000000000001"/>
    <n v="2.96"/>
    <s v="Medium"/>
    <n v="2014"/>
  </r>
  <r>
    <s v="ID-2013-48555"/>
    <x v="277"/>
    <x v="317"/>
    <s v="Second Class"/>
    <x v="318"/>
    <x v="2"/>
    <s v="Western Visayas"/>
    <s v="Philippines"/>
    <s v="APAC"/>
    <x v="0"/>
    <s v="OFF-LA-10002107"/>
    <x v="0"/>
    <x v="4"/>
    <x v="392"/>
    <n v="17"/>
    <n v="3"/>
    <x v="18"/>
    <n v="-4.0095000000000001"/>
    <n v="0.51"/>
    <s v="Medium"/>
    <n v="2013"/>
  </r>
  <r>
    <s v="CA-2012-122287"/>
    <x v="278"/>
    <x v="318"/>
    <s v="Standard Class"/>
    <x v="319"/>
    <x v="1"/>
    <s v="Arizona"/>
    <s v="United States"/>
    <s v="US"/>
    <x v="7"/>
    <s v="OFF-BI-10003707"/>
    <x v="0"/>
    <x v="0"/>
    <x v="393"/>
    <n v="9"/>
    <n v="2"/>
    <x v="7"/>
    <n v="-6.1040000000000001"/>
    <n v="0.77"/>
    <s v="Medium"/>
    <n v="2012"/>
  </r>
  <r>
    <s v="CA-2011-110030"/>
    <x v="279"/>
    <x v="319"/>
    <s v="Second Class"/>
    <x v="320"/>
    <x v="2"/>
    <s v="Texas"/>
    <s v="United States"/>
    <s v="US"/>
    <x v="2"/>
    <s v="FUR-FU-10002759"/>
    <x v="1"/>
    <x v="2"/>
    <x v="394"/>
    <n v="24"/>
    <n v="3"/>
    <x v="3"/>
    <n v="-14.3856"/>
    <n v="4.26"/>
    <s v="High"/>
    <n v="2011"/>
  </r>
  <r>
    <s v="MX-2012-134712"/>
    <x v="280"/>
    <x v="320"/>
    <s v="Second Class"/>
    <x v="295"/>
    <x v="2"/>
    <s v="San Salvador"/>
    <s v="El Salvador"/>
    <s v="LATAM"/>
    <x v="2"/>
    <s v="TEC-MA-10003366"/>
    <x v="2"/>
    <x v="10"/>
    <x v="395"/>
    <n v="449"/>
    <n v="4"/>
    <x v="1"/>
    <n v="26.88"/>
    <n v="39.83"/>
    <s v="Medium"/>
    <n v="2012"/>
  </r>
  <r>
    <s v="KZ-2011-4170"/>
    <x v="281"/>
    <x v="321"/>
    <s v="First Class"/>
    <x v="321"/>
    <x v="2"/>
    <s v="Almaty"/>
    <s v="Kazakhstan"/>
    <s v="EMEA"/>
    <x v="4"/>
    <s v="TEC-CAN-10002802"/>
    <x v="2"/>
    <x v="14"/>
    <x v="396"/>
    <n v="85"/>
    <n v="2"/>
    <x v="7"/>
    <n v="-185.11199999999999"/>
    <n v="14.04"/>
    <s v="High"/>
    <n v="2011"/>
  </r>
  <r>
    <s v="MX-2014-104304"/>
    <x v="282"/>
    <x v="322"/>
    <s v="Standard Class"/>
    <x v="322"/>
    <x v="1"/>
    <s v="Jalisco"/>
    <s v="Mexico"/>
    <s v="LATAM"/>
    <x v="6"/>
    <s v="OFF-EN-10001751"/>
    <x v="0"/>
    <x v="16"/>
    <x v="397"/>
    <n v="77"/>
    <n v="3"/>
    <x v="1"/>
    <n v="20.04"/>
    <n v="1.81"/>
    <s v="Medium"/>
    <n v="2014"/>
  </r>
  <r>
    <s v="TU-2013-1610"/>
    <x v="283"/>
    <x v="323"/>
    <s v="Second Class"/>
    <x v="323"/>
    <x v="1"/>
    <s v="Kars"/>
    <s v="Turkey"/>
    <s v="EMEA"/>
    <x v="4"/>
    <s v="OFF-AVE-10000432"/>
    <x v="0"/>
    <x v="0"/>
    <x v="398"/>
    <n v="5"/>
    <n v="2"/>
    <x v="3"/>
    <n v="-3.8279999999999998"/>
    <n v="0.99"/>
    <s v="High"/>
    <n v="2013"/>
  </r>
  <r>
    <s v="IN-2014-77689"/>
    <x v="284"/>
    <x v="324"/>
    <s v="First Class"/>
    <x v="18"/>
    <x v="1"/>
    <s v="West Bengal"/>
    <s v="India"/>
    <s v="APAC"/>
    <x v="3"/>
    <s v="FUR-FU-10001557"/>
    <x v="1"/>
    <x v="2"/>
    <x v="399"/>
    <n v="206"/>
    <n v="4"/>
    <x v="1"/>
    <n v="30.84"/>
    <n v="72.37"/>
    <s v="Critical"/>
    <n v="2014"/>
  </r>
  <r>
    <s v="MX-2014-122567"/>
    <x v="285"/>
    <x v="325"/>
    <s v="Second Class"/>
    <x v="324"/>
    <x v="2"/>
    <s v="MÃ©xico"/>
    <s v="Mexico"/>
    <s v="LATAM"/>
    <x v="6"/>
    <s v="OFF-SU-10003892"/>
    <x v="0"/>
    <x v="15"/>
    <x v="400"/>
    <n v="25"/>
    <n v="1"/>
    <x v="1"/>
    <n v="12.6"/>
    <n v="1.38"/>
    <s v="Medium"/>
    <n v="2014"/>
  </r>
  <r>
    <s v="EN-2014-1040"/>
    <x v="286"/>
    <x v="326"/>
    <s v="Standard Class"/>
    <x v="325"/>
    <x v="0"/>
    <s v="Harjumaa"/>
    <s v="Estonia"/>
    <s v="EMEA"/>
    <x v="4"/>
    <s v="FUR-RUB-10003699"/>
    <x v="1"/>
    <x v="2"/>
    <x v="401"/>
    <n v="38"/>
    <n v="2"/>
    <x v="1"/>
    <n v="6"/>
    <n v="3.95"/>
    <s v="Medium"/>
    <n v="2014"/>
  </r>
  <r>
    <s v="ID-2014-11098"/>
    <x v="287"/>
    <x v="327"/>
    <s v="Standard Class"/>
    <x v="326"/>
    <x v="0"/>
    <s v="Western Australia"/>
    <s v="Australia"/>
    <s v="APAC"/>
    <x v="9"/>
    <s v="FUR-FU-10003447"/>
    <x v="1"/>
    <x v="2"/>
    <x v="402"/>
    <n v="45"/>
    <n v="2"/>
    <x v="2"/>
    <n v="15.108000000000001"/>
    <n v="2.94"/>
    <s v="Medium"/>
    <n v="2014"/>
  </r>
  <r>
    <s v="EG-2012-40"/>
    <x v="288"/>
    <x v="328"/>
    <s v="Standard Class"/>
    <x v="327"/>
    <x v="0"/>
    <s v="Al Qahirah"/>
    <s v="Egypt"/>
    <s v="Africa"/>
    <x v="5"/>
    <s v="OFF-XER-10000641"/>
    <x v="0"/>
    <x v="7"/>
    <x v="403"/>
    <n v="45"/>
    <n v="1"/>
    <x v="1"/>
    <n v="14.34"/>
    <n v="6.07"/>
    <s v="High"/>
    <n v="2012"/>
  </r>
  <r>
    <s v="PL-2011-7410"/>
    <x v="289"/>
    <x v="321"/>
    <s v="Standard Class"/>
    <x v="268"/>
    <x v="0"/>
    <s v="Lodz"/>
    <s v="Poland"/>
    <s v="EMEA"/>
    <x v="4"/>
    <s v="OFF-NOV-10003578"/>
    <x v="0"/>
    <x v="4"/>
    <x v="404"/>
    <n v="12"/>
    <n v="1"/>
    <x v="1"/>
    <n v="2.97"/>
    <n v="0.54"/>
    <s v="Medium"/>
    <n v="2011"/>
  </r>
  <r>
    <s v="CA-2014-126865"/>
    <x v="290"/>
    <x v="329"/>
    <s v="Second Class"/>
    <x v="328"/>
    <x v="2"/>
    <s v="California"/>
    <s v="United States"/>
    <s v="US"/>
    <x v="7"/>
    <s v="OFF-PA-10003039"/>
    <x v="0"/>
    <x v="7"/>
    <x v="405"/>
    <n v="93"/>
    <n v="3"/>
    <x v="1"/>
    <n v="41.823"/>
    <n v="18.579999999999998"/>
    <s v="Critical"/>
    <n v="2014"/>
  </r>
  <r>
    <s v="MX-2014-153192"/>
    <x v="291"/>
    <x v="330"/>
    <s v="Standard Class"/>
    <x v="329"/>
    <x v="0"/>
    <s v="SÃ£o Paulo"/>
    <s v="Brazil"/>
    <s v="LATAM"/>
    <x v="1"/>
    <s v="OFF-FA-10001761"/>
    <x v="0"/>
    <x v="6"/>
    <x v="406"/>
    <n v="19"/>
    <n v="2"/>
    <x v="1"/>
    <n v="4.72"/>
    <n v="1.1000000000000001"/>
    <s v="Medium"/>
    <n v="2014"/>
  </r>
  <r>
    <s v="ES-2014-1960568"/>
    <x v="292"/>
    <x v="316"/>
    <s v="Standard Class"/>
    <x v="330"/>
    <x v="2"/>
    <s v="Ile-de-France"/>
    <s v="France"/>
    <s v="EU"/>
    <x v="2"/>
    <s v="TEC-PH-10001070"/>
    <x v="2"/>
    <x v="9"/>
    <x v="407"/>
    <n v="125"/>
    <n v="2"/>
    <x v="12"/>
    <n v="39.573"/>
    <n v="10.01"/>
    <s v="Medium"/>
    <n v="2014"/>
  </r>
  <r>
    <s v="ES-2013-2993189"/>
    <x v="293"/>
    <x v="331"/>
    <s v="Standard Class"/>
    <x v="331"/>
    <x v="2"/>
    <s v="Poitou-Charentes"/>
    <s v="France"/>
    <s v="EU"/>
    <x v="2"/>
    <s v="TEC-MA-10003078"/>
    <x v="2"/>
    <x v="10"/>
    <x v="408"/>
    <n v="1331"/>
    <n v="6"/>
    <x v="12"/>
    <n v="-172.28700000000001"/>
    <n v="100.17"/>
    <s v="Medium"/>
    <n v="2013"/>
  </r>
  <r>
    <s v="US-2013-152373"/>
    <x v="294"/>
    <x v="332"/>
    <s v="Standard Class"/>
    <x v="332"/>
    <x v="2"/>
    <s v="Texas"/>
    <s v="United States"/>
    <s v="US"/>
    <x v="2"/>
    <s v="OFF-ST-10003479"/>
    <x v="0"/>
    <x v="3"/>
    <x v="409"/>
    <n v="93"/>
    <n v="3"/>
    <x v="6"/>
    <n v="-17.523"/>
    <n v="9.1300000000000008"/>
    <s v="Medium"/>
    <n v="2013"/>
  </r>
  <r>
    <s v="IN-2014-55086"/>
    <x v="295"/>
    <x v="333"/>
    <s v="Standard Class"/>
    <x v="333"/>
    <x v="2"/>
    <s v="Guangxi"/>
    <s v="China"/>
    <s v="APAC"/>
    <x v="8"/>
    <s v="OFF-FA-10004027"/>
    <x v="0"/>
    <x v="6"/>
    <x v="410"/>
    <n v="45"/>
    <n v="4"/>
    <x v="1"/>
    <n v="2.16"/>
    <n v="5.55"/>
    <s v="High"/>
    <n v="2014"/>
  </r>
  <r>
    <s v="CA-2011-146640"/>
    <x v="296"/>
    <x v="280"/>
    <s v="Standard Class"/>
    <x v="334"/>
    <x v="2"/>
    <s v="New York"/>
    <s v="United States"/>
    <s v="US"/>
    <x v="12"/>
    <s v="OFF-BI-10002867"/>
    <x v="0"/>
    <x v="0"/>
    <x v="411"/>
    <n v="335"/>
    <n v="7"/>
    <x v="6"/>
    <n v="108.7996"/>
    <n v="25.42"/>
    <s v="Medium"/>
    <n v="2011"/>
  </r>
  <r>
    <s v="IN-2014-41163"/>
    <x v="285"/>
    <x v="316"/>
    <s v="Standard Class"/>
    <x v="335"/>
    <x v="2"/>
    <s v="Yunnan"/>
    <s v="China"/>
    <s v="APAC"/>
    <x v="8"/>
    <s v="OFF-EN-10004503"/>
    <x v="0"/>
    <x v="16"/>
    <x v="412"/>
    <n v="71"/>
    <n v="3"/>
    <x v="1"/>
    <n v="27.09"/>
    <n v="7.09"/>
    <s v="Medium"/>
    <n v="2014"/>
  </r>
  <r>
    <s v="BU-2012-7140"/>
    <x v="297"/>
    <x v="334"/>
    <s v="Standard Class"/>
    <x v="175"/>
    <x v="2"/>
    <s v="Vratsa"/>
    <s v="Bulgaria"/>
    <s v="EMEA"/>
    <x v="4"/>
    <s v="OFF-SME-10001652"/>
    <x v="0"/>
    <x v="3"/>
    <x v="413"/>
    <n v="48"/>
    <n v="1"/>
    <x v="1"/>
    <n v="6.18"/>
    <n v="3.29"/>
    <s v="Medium"/>
    <n v="2012"/>
  </r>
  <r>
    <s v="KE-2014-3820"/>
    <x v="284"/>
    <x v="316"/>
    <s v="Second Class"/>
    <x v="336"/>
    <x v="2"/>
    <s v="Coast"/>
    <s v="Kenya"/>
    <s v="Africa"/>
    <x v="5"/>
    <s v="OFF-IBI-10000080"/>
    <x v="0"/>
    <x v="0"/>
    <x v="414"/>
    <n v="16"/>
    <n v="1"/>
    <x v="1"/>
    <n v="1.26"/>
    <n v="5.2"/>
    <s v="Critical"/>
    <n v="2014"/>
  </r>
  <r>
    <s v="ID-2012-45363"/>
    <x v="298"/>
    <x v="105"/>
    <s v="Standard Class"/>
    <x v="140"/>
    <x v="0"/>
    <s v="National Capital"/>
    <s v="Philippines"/>
    <s v="APAC"/>
    <x v="0"/>
    <s v="OFF-FA-10002481"/>
    <x v="0"/>
    <x v="6"/>
    <x v="415"/>
    <n v="9"/>
    <n v="1"/>
    <x v="18"/>
    <n v="-6.9450000000000003"/>
    <n v="0.44"/>
    <s v="Medium"/>
    <n v="2012"/>
  </r>
  <r>
    <s v="ID-2013-29151"/>
    <x v="299"/>
    <x v="335"/>
    <s v="Standard Class"/>
    <x v="310"/>
    <x v="2"/>
    <s v="Queensland"/>
    <s v="Australia"/>
    <s v="APAC"/>
    <x v="9"/>
    <s v="TEC-AC-10001352"/>
    <x v="2"/>
    <x v="11"/>
    <x v="183"/>
    <n v="199"/>
    <n v="4"/>
    <x v="2"/>
    <n v="2.1"/>
    <n v="25.54"/>
    <s v="High"/>
    <n v="2013"/>
  </r>
  <r>
    <s v="MX-2011-166331"/>
    <x v="300"/>
    <x v="336"/>
    <s v="Second Class"/>
    <x v="236"/>
    <x v="2"/>
    <s v="Lima (city)"/>
    <s v="Peru"/>
    <s v="LATAM"/>
    <x v="1"/>
    <s v="OFF-LA-10003337"/>
    <x v="0"/>
    <x v="4"/>
    <x v="416"/>
    <n v="9"/>
    <n v="2"/>
    <x v="5"/>
    <n v="-3.008"/>
    <n v="0.64"/>
    <s v="Medium"/>
    <n v="2011"/>
  </r>
  <r>
    <s v="MX-2014-142048"/>
    <x v="301"/>
    <x v="337"/>
    <s v="Same Day"/>
    <x v="79"/>
    <x v="2"/>
    <s v="San Salvador"/>
    <s v="El Salvador"/>
    <s v="LATAM"/>
    <x v="2"/>
    <s v="OFF-BI-10004145"/>
    <x v="0"/>
    <x v="0"/>
    <x v="417"/>
    <n v="6"/>
    <n v="2"/>
    <x v="1"/>
    <n v="2.44"/>
    <n v="1.02"/>
    <s v="High"/>
    <n v="2014"/>
  </r>
  <r>
    <s v="IN-2013-58873"/>
    <x v="302"/>
    <x v="338"/>
    <s v="Standard Class"/>
    <x v="148"/>
    <x v="2"/>
    <s v="Punjab"/>
    <s v="India"/>
    <s v="APAC"/>
    <x v="3"/>
    <s v="OFF-SU-10002448"/>
    <x v="0"/>
    <x v="15"/>
    <x v="418"/>
    <n v="171"/>
    <n v="4"/>
    <x v="1"/>
    <n v="32.4"/>
    <n v="13.54"/>
    <s v="Medium"/>
    <n v="2013"/>
  </r>
  <r>
    <s v="EG-2012-6420"/>
    <x v="303"/>
    <x v="339"/>
    <s v="Standard Class"/>
    <x v="337"/>
    <x v="2"/>
    <s v="Al Qahirah"/>
    <s v="Egypt"/>
    <s v="Africa"/>
    <x v="5"/>
    <s v="OFF-SAN-10001295"/>
    <x v="0"/>
    <x v="5"/>
    <x v="171"/>
    <n v="116"/>
    <n v="4"/>
    <x v="1"/>
    <n v="12.72"/>
    <n v="2.17"/>
    <s v="High"/>
    <n v="2012"/>
  </r>
  <r>
    <s v="IN-2012-72229"/>
    <x v="280"/>
    <x v="320"/>
    <s v="Second Class"/>
    <x v="338"/>
    <x v="0"/>
    <s v="South Australia"/>
    <s v="Australia"/>
    <s v="APAC"/>
    <x v="9"/>
    <s v="TEC-PH-10000499"/>
    <x v="2"/>
    <x v="9"/>
    <x v="236"/>
    <n v="578"/>
    <n v="1"/>
    <x v="2"/>
    <n v="32.121000000000002"/>
    <n v="73.319999999999993"/>
    <s v="Medium"/>
    <n v="2012"/>
  </r>
  <r>
    <s v="ES-2014-1779830"/>
    <x v="282"/>
    <x v="322"/>
    <s v="Standard Class"/>
    <x v="262"/>
    <x v="0"/>
    <s v="Lazio"/>
    <s v="Italy"/>
    <s v="EU"/>
    <x v="1"/>
    <s v="OFF-EN-10004150"/>
    <x v="0"/>
    <x v="16"/>
    <x v="419"/>
    <n v="81"/>
    <n v="5"/>
    <x v="1"/>
    <n v="35.4"/>
    <n v="3.9"/>
    <s v="Medium"/>
    <n v="2014"/>
  </r>
  <r>
    <s v="IN-2013-53609"/>
    <x v="275"/>
    <x v="340"/>
    <s v="Standard Class"/>
    <x v="14"/>
    <x v="1"/>
    <s v="Ho ChÃ­ Minh City"/>
    <s v="Vietnam"/>
    <s v="APAC"/>
    <x v="0"/>
    <s v="FUR-CH-10000258"/>
    <x v="1"/>
    <x v="8"/>
    <x v="420"/>
    <n v="134"/>
    <n v="2"/>
    <x v="17"/>
    <n v="-38.543399999999998"/>
    <n v="3.05"/>
    <s v="Medium"/>
    <n v="2013"/>
  </r>
  <r>
    <s v="TU-2014-4980"/>
    <x v="292"/>
    <x v="325"/>
    <s v="Second Class"/>
    <x v="305"/>
    <x v="0"/>
    <s v="Van"/>
    <s v="Turkey"/>
    <s v="EMEA"/>
    <x v="4"/>
    <s v="OFF-SAN-10001862"/>
    <x v="0"/>
    <x v="5"/>
    <x v="421"/>
    <n v="6"/>
    <n v="1"/>
    <x v="3"/>
    <n v="-8.9819999999999993"/>
    <n v="0.78"/>
    <s v="High"/>
    <n v="2014"/>
  </r>
  <r>
    <s v="MX-2014-110961"/>
    <x v="285"/>
    <x v="325"/>
    <s v="Second Class"/>
    <x v="339"/>
    <x v="2"/>
    <s v="Miranda"/>
    <s v="Venezuela"/>
    <s v="LATAM"/>
    <x v="1"/>
    <s v="TEC-CO-10004521"/>
    <x v="2"/>
    <x v="14"/>
    <x v="422"/>
    <n v="248"/>
    <n v="5"/>
    <x v="11"/>
    <n v="15.651400000000001"/>
    <n v="21.67"/>
    <s v="Critical"/>
    <n v="2014"/>
  </r>
  <r>
    <s v="ES-2014-1393638"/>
    <x v="276"/>
    <x v="341"/>
    <s v="First Class"/>
    <x v="340"/>
    <x v="1"/>
    <s v="England"/>
    <s v="United Kingdom"/>
    <s v="EU"/>
    <x v="6"/>
    <s v="FUR-BO-10000259"/>
    <x v="1"/>
    <x v="13"/>
    <x v="423"/>
    <n v="1314"/>
    <n v="3"/>
    <x v="1"/>
    <n v="341.73"/>
    <n v="277.29000000000002"/>
    <s v="Medium"/>
    <n v="2014"/>
  </r>
  <r>
    <s v="IT-2014-5285883"/>
    <x v="290"/>
    <x v="342"/>
    <s v="Standard Class"/>
    <x v="138"/>
    <x v="0"/>
    <s v="North Brabant"/>
    <s v="Netherlands"/>
    <s v="EU"/>
    <x v="2"/>
    <s v="OFF-LA-10003283"/>
    <x v="0"/>
    <x v="4"/>
    <x v="6"/>
    <n v="41"/>
    <n v="9"/>
    <x v="4"/>
    <n v="-0.13500000000000001"/>
    <n v="1.38"/>
    <s v="Medium"/>
    <n v="2014"/>
  </r>
  <r>
    <s v="ES-2014-1879715"/>
    <x v="304"/>
    <x v="343"/>
    <s v="Standard Class"/>
    <x v="341"/>
    <x v="2"/>
    <s v="England"/>
    <s v="United Kingdom"/>
    <s v="EU"/>
    <x v="6"/>
    <s v="TEC-PH-10004992"/>
    <x v="2"/>
    <x v="9"/>
    <x v="424"/>
    <n v="67"/>
    <n v="1"/>
    <x v="1"/>
    <n v="29.28"/>
    <n v="0.19"/>
    <s v="Medium"/>
    <n v="2014"/>
  </r>
  <r>
    <s v="ID-2013-83226"/>
    <x v="293"/>
    <x v="344"/>
    <s v="Standard Class"/>
    <x v="342"/>
    <x v="1"/>
    <s v="Auckland"/>
    <s v="New Zealand"/>
    <s v="APAC"/>
    <x v="9"/>
    <s v="OFF-AR-10002517"/>
    <x v="0"/>
    <x v="5"/>
    <x v="425"/>
    <n v="23"/>
    <n v="2"/>
    <x v="5"/>
    <n v="3.7559999999999998"/>
    <n v="1.75"/>
    <s v="Medium"/>
    <n v="2013"/>
  </r>
  <r>
    <s v="CA-2013-149965"/>
    <x v="305"/>
    <x v="345"/>
    <s v="Standard Class"/>
    <x v="343"/>
    <x v="0"/>
    <s v="Oklahoma"/>
    <s v="United States"/>
    <s v="US"/>
    <x v="2"/>
    <s v="TEC-AC-10004877"/>
    <x v="2"/>
    <x v="11"/>
    <x v="426"/>
    <n v="7"/>
    <n v="1"/>
    <x v="1"/>
    <n v="0.55200000000000005"/>
    <n v="0.42"/>
    <s v="High"/>
    <n v="2013"/>
  </r>
  <r>
    <s v="MX-2013-119970"/>
    <x v="275"/>
    <x v="346"/>
    <s v="Standard Class"/>
    <x v="74"/>
    <x v="2"/>
    <s v="Distrito Federal"/>
    <s v="Mexico"/>
    <s v="LATAM"/>
    <x v="6"/>
    <s v="OFF-ST-10000990"/>
    <x v="0"/>
    <x v="3"/>
    <x v="427"/>
    <n v="264"/>
    <n v="2"/>
    <x v="1"/>
    <n v="5.24"/>
    <n v="16.440000000000001"/>
    <s v="Medium"/>
    <n v="2013"/>
  </r>
  <r>
    <s v="TU-2013-3080"/>
    <x v="306"/>
    <x v="347"/>
    <s v="Same Day"/>
    <x v="344"/>
    <x v="1"/>
    <s v="Istanbul"/>
    <s v="Turkey"/>
    <s v="EMEA"/>
    <x v="4"/>
    <s v="TEC-OKI-10003770"/>
    <x v="2"/>
    <x v="10"/>
    <x v="428"/>
    <n v="49"/>
    <n v="1"/>
    <x v="3"/>
    <n v="-68.897999999999996"/>
    <n v="0.65"/>
    <s v="Medium"/>
    <n v="2013"/>
  </r>
  <r>
    <s v="EG-2013-1620"/>
    <x v="299"/>
    <x v="335"/>
    <s v="Standard Class"/>
    <x v="284"/>
    <x v="2"/>
    <s v="Al Iskandariyah"/>
    <s v="Egypt"/>
    <s v="Africa"/>
    <x v="5"/>
    <s v="OFF-IBI-10004855"/>
    <x v="0"/>
    <x v="0"/>
    <x v="429"/>
    <n v="15"/>
    <n v="2"/>
    <x v="1"/>
    <n v="4.5"/>
    <n v="1.7"/>
    <s v="High"/>
    <n v="2013"/>
  </r>
  <r>
    <s v="IN-2013-62093"/>
    <x v="307"/>
    <x v="243"/>
    <s v="Second Class"/>
    <x v="345"/>
    <x v="2"/>
    <s v="New South Wales"/>
    <s v="Australia"/>
    <s v="APAC"/>
    <x v="9"/>
    <s v="FUR-CH-10000432"/>
    <x v="1"/>
    <x v="8"/>
    <x v="430"/>
    <n v="657"/>
    <n v="4"/>
    <x v="2"/>
    <n v="-29.244"/>
    <n v="77.94"/>
    <s v="High"/>
    <n v="2013"/>
  </r>
  <r>
    <s v="IT-2011-4752666"/>
    <x v="281"/>
    <x v="321"/>
    <s v="Second Class"/>
    <x v="127"/>
    <x v="2"/>
    <s v="Navarra"/>
    <s v="Spain"/>
    <s v="EU"/>
    <x v="1"/>
    <s v="OFF-ST-10000300"/>
    <x v="0"/>
    <x v="3"/>
    <x v="431"/>
    <n v="29"/>
    <n v="2"/>
    <x v="2"/>
    <n v="-0.03"/>
    <n v="2.4"/>
    <s v="High"/>
    <n v="2011"/>
  </r>
  <r>
    <s v="IN-2013-39231"/>
    <x v="308"/>
    <x v="344"/>
    <s v="Second Class"/>
    <x v="346"/>
    <x v="0"/>
    <s v="Tasmania"/>
    <s v="Australia"/>
    <s v="APAC"/>
    <x v="9"/>
    <s v="OFF-EN-10004181"/>
    <x v="0"/>
    <x v="16"/>
    <x v="419"/>
    <n v="44"/>
    <n v="3"/>
    <x v="2"/>
    <n v="11.087999999999999"/>
    <n v="1.92"/>
    <s v="Medium"/>
    <n v="2013"/>
  </r>
  <r>
    <s v="ID-2014-75533"/>
    <x v="309"/>
    <x v="348"/>
    <s v="Standard Class"/>
    <x v="347"/>
    <x v="2"/>
    <s v="Queensland"/>
    <s v="Australia"/>
    <s v="APAC"/>
    <x v="9"/>
    <s v="TEC-CO-10001410"/>
    <x v="2"/>
    <x v="14"/>
    <x v="432"/>
    <n v="381"/>
    <n v="3"/>
    <x v="2"/>
    <n v="-29.681999999999999"/>
    <n v="36.97"/>
    <s v="High"/>
    <n v="2014"/>
  </r>
  <r>
    <s v="BO-2014-2490"/>
    <x v="310"/>
    <x v="349"/>
    <s v="Standard Class"/>
    <x v="56"/>
    <x v="2"/>
    <s v="Homyel'"/>
    <s v="Belarus"/>
    <s v="EMEA"/>
    <x v="4"/>
    <s v="OFF-AME-10002557"/>
    <x v="0"/>
    <x v="16"/>
    <x v="433"/>
    <n v="34"/>
    <n v="2"/>
    <x v="1"/>
    <n v="8.52"/>
    <n v="2.0299999999999998"/>
    <s v="Medium"/>
    <n v="2014"/>
  </r>
  <r>
    <s v="MX-2012-153612"/>
    <x v="303"/>
    <x v="339"/>
    <s v="Standard Class"/>
    <x v="55"/>
    <x v="1"/>
    <s v="Guanajuato"/>
    <s v="Mexico"/>
    <s v="LATAM"/>
    <x v="6"/>
    <s v="OFF-BI-10003653"/>
    <x v="0"/>
    <x v="0"/>
    <x v="198"/>
    <n v="39"/>
    <n v="2"/>
    <x v="1"/>
    <n v="10.96"/>
    <n v="3.03"/>
    <s v="High"/>
    <n v="2012"/>
  </r>
  <r>
    <s v="US-2012-163825"/>
    <x v="311"/>
    <x v="350"/>
    <s v="First Class"/>
    <x v="348"/>
    <x v="2"/>
    <s v="New York"/>
    <s v="United States"/>
    <s v="US"/>
    <x v="12"/>
    <s v="OFF-BI-10003527"/>
    <x v="0"/>
    <x v="0"/>
    <x v="434"/>
    <n v="3050"/>
    <n v="3"/>
    <x v="6"/>
    <n v="1143.8910000000001"/>
    <n v="632.04999999999995"/>
    <s v="High"/>
    <n v="2012"/>
  </r>
  <r>
    <s v="IN-2013-34583"/>
    <x v="312"/>
    <x v="340"/>
    <s v="Standard Class"/>
    <x v="349"/>
    <x v="2"/>
    <s v="New South Wales"/>
    <s v="Australia"/>
    <s v="APAC"/>
    <x v="9"/>
    <s v="OFF-LA-10004488"/>
    <x v="0"/>
    <x v="4"/>
    <x v="435"/>
    <n v="28"/>
    <n v="3"/>
    <x v="2"/>
    <n v="1.224"/>
    <n v="1.65"/>
    <s v="Medium"/>
    <n v="2013"/>
  </r>
  <r>
    <s v="CA-2011-130624"/>
    <x v="313"/>
    <x v="351"/>
    <s v="First Class"/>
    <x v="350"/>
    <x v="2"/>
    <s v="New York"/>
    <s v="United States"/>
    <s v="US"/>
    <x v="12"/>
    <s v="OFF-AP-10001303"/>
    <x v="0"/>
    <x v="1"/>
    <x v="436"/>
    <n v="60"/>
    <n v="3"/>
    <x v="1"/>
    <n v="26.864999999999998"/>
    <n v="3.07"/>
    <s v="High"/>
    <n v="2011"/>
  </r>
  <r>
    <s v="US-2013-165078"/>
    <x v="314"/>
    <x v="265"/>
    <s v="Standard Class"/>
    <x v="351"/>
    <x v="1"/>
    <s v="Indiana"/>
    <s v="United States"/>
    <s v="US"/>
    <x v="2"/>
    <s v="OFF-LA-10000414"/>
    <x v="0"/>
    <x v="4"/>
    <x v="437"/>
    <n v="52"/>
    <n v="5"/>
    <x v="1"/>
    <n v="24.84"/>
    <n v="4.47"/>
    <s v="High"/>
    <n v="2013"/>
  </r>
  <r>
    <s v="GV-2013-5210"/>
    <x v="315"/>
    <x v="352"/>
    <s v="First Class"/>
    <x v="32"/>
    <x v="0"/>
    <s v="NzÃ©rÃ©korÃ©"/>
    <s v="Guinea"/>
    <s v="Africa"/>
    <x v="5"/>
    <s v="OFF-HOO-10001881"/>
    <x v="0"/>
    <x v="1"/>
    <x v="438"/>
    <n v="567"/>
    <n v="1"/>
    <x v="1"/>
    <n v="28.32"/>
    <n v="124.25"/>
    <s v="High"/>
    <n v="2013"/>
  </r>
  <r>
    <s v="ID-2013-75372"/>
    <x v="316"/>
    <x v="340"/>
    <s v="Second Class"/>
    <x v="96"/>
    <x v="2"/>
    <s v="Yangon"/>
    <s v="Myanmar (Burma)"/>
    <s v="APAC"/>
    <x v="0"/>
    <s v="FUR-FU-10000944"/>
    <x v="1"/>
    <x v="2"/>
    <x v="439"/>
    <n v="192"/>
    <n v="6"/>
    <x v="17"/>
    <n v="-52.741799999999998"/>
    <n v="19.23"/>
    <s v="Critical"/>
    <n v="2013"/>
  </r>
  <r>
    <s v="TU-2011-6800"/>
    <x v="317"/>
    <x v="353"/>
    <s v="Second Class"/>
    <x v="131"/>
    <x v="2"/>
    <s v="Aydin"/>
    <s v="Turkey"/>
    <s v="EMEA"/>
    <x v="4"/>
    <s v="OFF-SME-10002467"/>
    <x v="0"/>
    <x v="4"/>
    <x v="440"/>
    <n v="3"/>
    <n v="1"/>
    <x v="3"/>
    <n v="-2.3519999999999999"/>
    <n v="0.23"/>
    <s v="Medium"/>
    <n v="2011"/>
  </r>
  <r>
    <s v="IZ-2012-6910"/>
    <x v="318"/>
    <x v="105"/>
    <s v="Standard Class"/>
    <x v="352"/>
    <x v="2"/>
    <s v="Arbil"/>
    <s v="Iraq"/>
    <s v="EMEA"/>
    <x v="4"/>
    <s v="OFF-HAM-10002778"/>
    <x v="0"/>
    <x v="1"/>
    <x v="441"/>
    <n v="282"/>
    <n v="1"/>
    <x v="1"/>
    <n v="28.17"/>
    <n v="23.62"/>
    <s v="Medium"/>
    <n v="2012"/>
  </r>
  <r>
    <s v="CA-2013-160500"/>
    <x v="319"/>
    <x v="252"/>
    <s v="First Class"/>
    <x v="353"/>
    <x v="2"/>
    <s v="California"/>
    <s v="United States"/>
    <s v="US"/>
    <x v="7"/>
    <s v="FUR-TA-10003748"/>
    <x v="1"/>
    <x v="12"/>
    <x v="442"/>
    <n v="299"/>
    <n v="3"/>
    <x v="6"/>
    <n v="7.4694000000000003"/>
    <n v="25.78"/>
    <s v="High"/>
    <n v="2013"/>
  </r>
  <r>
    <s v="IN-2014-62849"/>
    <x v="282"/>
    <x v="322"/>
    <s v="Standard Class"/>
    <x v="227"/>
    <x v="0"/>
    <s v="Shaanxi"/>
    <s v="China"/>
    <s v="APAC"/>
    <x v="8"/>
    <s v="TEC-PH-10003556"/>
    <x v="2"/>
    <x v="9"/>
    <x v="65"/>
    <n v="370"/>
    <n v="3"/>
    <x v="1"/>
    <n v="129.41999999999999"/>
    <n v="20.62"/>
    <s v="Medium"/>
    <n v="2014"/>
  </r>
  <r>
    <s v="ID-2014-29081"/>
    <x v="309"/>
    <x v="348"/>
    <s v="Standard Class"/>
    <x v="354"/>
    <x v="2"/>
    <s v="Jawa Barat"/>
    <s v="Indonesia"/>
    <s v="APAC"/>
    <x v="0"/>
    <s v="OFF-EN-10001154"/>
    <x v="0"/>
    <x v="16"/>
    <x v="443"/>
    <n v="19"/>
    <n v="4"/>
    <x v="13"/>
    <n v="-16.2"/>
    <n v="1.32"/>
    <s v="Medium"/>
    <n v="2014"/>
  </r>
  <r>
    <s v="CA-2013-144092"/>
    <x v="314"/>
    <x v="275"/>
    <s v="Second Class"/>
    <x v="355"/>
    <x v="2"/>
    <s v="California"/>
    <s v="United States"/>
    <s v="US"/>
    <x v="7"/>
    <s v="FUR-CH-10004875"/>
    <x v="1"/>
    <x v="8"/>
    <x v="444"/>
    <n v="114"/>
    <n v="2"/>
    <x v="6"/>
    <n v="9.9651999999999994"/>
    <n v="11.83"/>
    <s v="High"/>
    <n v="2013"/>
  </r>
  <r>
    <s v="CA-2011-154963"/>
    <x v="320"/>
    <x v="354"/>
    <s v="Standard Class"/>
    <x v="240"/>
    <x v="2"/>
    <s v="Pennsylvania"/>
    <s v="United States"/>
    <s v="US"/>
    <x v="12"/>
    <s v="FUR-CH-10004698"/>
    <x v="1"/>
    <x v="8"/>
    <x v="445"/>
    <n v="170"/>
    <n v="3"/>
    <x v="8"/>
    <n v="-4.8587999999999996"/>
    <n v="19.059999999999999"/>
    <s v="High"/>
    <n v="2011"/>
  </r>
  <r>
    <s v="CM-2011-1770"/>
    <x v="321"/>
    <x v="321"/>
    <s v="Same Day"/>
    <x v="356"/>
    <x v="2"/>
    <s v="Centre"/>
    <s v="Cameroon"/>
    <s v="Africa"/>
    <x v="5"/>
    <s v="FUR-DEF-10004141"/>
    <x v="1"/>
    <x v="2"/>
    <x v="446"/>
    <n v="196"/>
    <n v="4"/>
    <x v="1"/>
    <n v="27.36"/>
    <n v="26.73"/>
    <s v="Critical"/>
    <n v="2011"/>
  </r>
  <r>
    <s v="MX-2014-166086"/>
    <x v="285"/>
    <x v="341"/>
    <s v="Standard Class"/>
    <x v="70"/>
    <x v="0"/>
    <s v="Santiago"/>
    <s v="Chile"/>
    <s v="LATAM"/>
    <x v="1"/>
    <s v="OFF-LA-10000448"/>
    <x v="0"/>
    <x v="4"/>
    <x v="447"/>
    <n v="39"/>
    <n v="7"/>
    <x v="1"/>
    <n v="8.68"/>
    <n v="2.74"/>
    <s v="Medium"/>
    <n v="2014"/>
  </r>
  <r>
    <s v="US-2012-113649"/>
    <x v="322"/>
    <x v="355"/>
    <s v="First Class"/>
    <x v="134"/>
    <x v="1"/>
    <s v="CortÃ©s"/>
    <s v="Honduras"/>
    <s v="LATAM"/>
    <x v="2"/>
    <s v="OFF-ST-10004532"/>
    <x v="0"/>
    <x v="3"/>
    <x v="448"/>
    <n v="161"/>
    <n v="3"/>
    <x v="5"/>
    <n v="-18.827999999999999"/>
    <n v="24.55"/>
    <s v="High"/>
    <n v="2012"/>
  </r>
  <r>
    <s v="TU-2013-3210"/>
    <x v="316"/>
    <x v="340"/>
    <s v="First Class"/>
    <x v="289"/>
    <x v="2"/>
    <s v="Ankara"/>
    <s v="Turkey"/>
    <s v="EMEA"/>
    <x v="4"/>
    <s v="OFF-ROG-10001399"/>
    <x v="0"/>
    <x v="3"/>
    <x v="449"/>
    <n v="50"/>
    <n v="2"/>
    <x v="3"/>
    <n v="-64.691999999999993"/>
    <n v="14.26"/>
    <s v="High"/>
    <n v="2013"/>
  </r>
  <r>
    <s v="ES-2012-3241112"/>
    <x v="323"/>
    <x v="356"/>
    <s v="Standard Class"/>
    <x v="357"/>
    <x v="1"/>
    <s v="England"/>
    <s v="United Kingdom"/>
    <s v="EU"/>
    <x v="6"/>
    <s v="FUR-CH-10000685"/>
    <x v="1"/>
    <x v="8"/>
    <x v="450"/>
    <n v="823"/>
    <n v="2"/>
    <x v="2"/>
    <n v="246.852"/>
    <n v="92.78"/>
    <s v="Medium"/>
    <n v="2012"/>
  </r>
  <r>
    <s v="MO-2011-9460"/>
    <x v="324"/>
    <x v="357"/>
    <s v="Standard Class"/>
    <x v="358"/>
    <x v="2"/>
    <s v="Marrakech-Tensift-El Haouz"/>
    <s v="Morocco"/>
    <s v="Africa"/>
    <x v="5"/>
    <s v="FUR-OFF-10001798"/>
    <x v="1"/>
    <x v="8"/>
    <x v="420"/>
    <n v="92"/>
    <n v="1"/>
    <x v="1"/>
    <n v="10.98"/>
    <n v="6.15"/>
    <s v="Medium"/>
    <n v="2011"/>
  </r>
  <r>
    <s v="IN-2013-49297"/>
    <x v="283"/>
    <x v="323"/>
    <s v="Standard Class"/>
    <x v="359"/>
    <x v="2"/>
    <s v="Ibaraki"/>
    <s v="Japan"/>
    <s v="APAC"/>
    <x v="8"/>
    <s v="FUR-CH-10000432"/>
    <x v="1"/>
    <x v="8"/>
    <x v="430"/>
    <n v="365"/>
    <n v="2"/>
    <x v="1"/>
    <n v="21.9"/>
    <n v="13.75"/>
    <s v="Medium"/>
    <n v="2013"/>
  </r>
  <r>
    <s v="MX-2012-113817"/>
    <x v="325"/>
    <x v="185"/>
    <s v="First Class"/>
    <x v="360"/>
    <x v="1"/>
    <s v="Guatemala"/>
    <s v="Guatemala"/>
    <s v="LATAM"/>
    <x v="2"/>
    <s v="TEC-PH-10002647"/>
    <x v="2"/>
    <x v="9"/>
    <x v="451"/>
    <n v="244"/>
    <n v="5"/>
    <x v="1"/>
    <n v="56.1"/>
    <n v="26.92"/>
    <s v="High"/>
    <n v="2012"/>
  </r>
  <r>
    <s v="CA-2012-115945"/>
    <x v="322"/>
    <x v="358"/>
    <s v="Standard Class"/>
    <x v="62"/>
    <x v="2"/>
    <s v="California"/>
    <s v="United States"/>
    <s v="US"/>
    <x v="7"/>
    <s v="OFF-BI-10004330"/>
    <x v="0"/>
    <x v="0"/>
    <x v="452"/>
    <n v="89"/>
    <n v="3"/>
    <x v="6"/>
    <n v="27.734999999999999"/>
    <n v="4.7699999999999996"/>
    <s v="Medium"/>
    <n v="2012"/>
  </r>
  <r>
    <s v="BO-2012-5160"/>
    <x v="326"/>
    <x v="199"/>
    <s v="First Class"/>
    <x v="269"/>
    <x v="0"/>
    <s v="Hrodna"/>
    <s v="Belarus"/>
    <s v="EMEA"/>
    <x v="4"/>
    <s v="FUR-IKE-10001301"/>
    <x v="1"/>
    <x v="13"/>
    <x v="453"/>
    <n v="1487"/>
    <n v="12"/>
    <x v="1"/>
    <n v="743.4"/>
    <n v="36.659999999999997"/>
    <s v="High"/>
    <n v="2012"/>
  </r>
  <r>
    <s v="SF-2014-2410"/>
    <x v="291"/>
    <x v="359"/>
    <s v="Second Class"/>
    <x v="206"/>
    <x v="0"/>
    <s v="Gauteng"/>
    <s v="South Africa"/>
    <s v="Africa"/>
    <x v="5"/>
    <s v="TEC-EPS-10000774"/>
    <x v="2"/>
    <x v="10"/>
    <x v="454"/>
    <n v="78"/>
    <n v="1"/>
    <x v="1"/>
    <n v="11.7"/>
    <n v="9.4700000000000006"/>
    <s v="Medium"/>
    <n v="2014"/>
  </r>
  <r>
    <s v="MX-2014-122021"/>
    <x v="327"/>
    <x v="333"/>
    <s v="Second Class"/>
    <x v="113"/>
    <x v="2"/>
    <s v="Misiones"/>
    <s v="Argentina"/>
    <s v="LATAM"/>
    <x v="1"/>
    <s v="FUR-CH-10000105"/>
    <x v="1"/>
    <x v="8"/>
    <x v="455"/>
    <n v="17"/>
    <n v="1"/>
    <x v="5"/>
    <n v="1.1519999999999999"/>
    <n v="2.77"/>
    <s v="Medium"/>
    <n v="2014"/>
  </r>
  <r>
    <s v="CG-2013-1870"/>
    <x v="294"/>
    <x v="360"/>
    <s v="Same Day"/>
    <x v="314"/>
    <x v="1"/>
    <s v="Katanga"/>
    <s v="Democratic Republic of the Congo"/>
    <s v="Africa"/>
    <x v="5"/>
    <s v="OFF-IBI-10000080"/>
    <x v="0"/>
    <x v="0"/>
    <x v="414"/>
    <n v="16"/>
    <n v="1"/>
    <x v="1"/>
    <n v="1.26"/>
    <n v="2.83"/>
    <s v="Medium"/>
    <n v="2013"/>
  </r>
  <r>
    <s v="ES-2014-1666831"/>
    <x v="310"/>
    <x v="361"/>
    <s v="Standard Class"/>
    <x v="138"/>
    <x v="0"/>
    <s v="England"/>
    <s v="United Kingdom"/>
    <s v="EU"/>
    <x v="6"/>
    <s v="TEC-AC-10000815"/>
    <x v="2"/>
    <x v="11"/>
    <x v="456"/>
    <n v="39"/>
    <n v="1"/>
    <x v="1"/>
    <n v="17.28"/>
    <n v="4.18"/>
    <s v="Medium"/>
    <n v="2014"/>
  </r>
  <r>
    <s v="ES-2013-1217902"/>
    <x v="294"/>
    <x v="362"/>
    <s v="Standard Class"/>
    <x v="62"/>
    <x v="2"/>
    <s v="England"/>
    <s v="United Kingdom"/>
    <s v="EU"/>
    <x v="6"/>
    <s v="TEC-AC-10004997"/>
    <x v="2"/>
    <x v="11"/>
    <x v="457"/>
    <n v="459"/>
    <n v="4"/>
    <x v="1"/>
    <n v="100.92"/>
    <n v="50.57"/>
    <s v="High"/>
    <n v="2013"/>
  </r>
  <r>
    <s v="US-2011-165316"/>
    <x v="281"/>
    <x v="363"/>
    <s v="Second Class"/>
    <x v="361"/>
    <x v="0"/>
    <s v="Jalisco"/>
    <s v="Mexico"/>
    <s v="LATAM"/>
    <x v="6"/>
    <s v="OFF-LA-10004947"/>
    <x v="0"/>
    <x v="4"/>
    <x v="458"/>
    <n v="16"/>
    <n v="2"/>
    <x v="1"/>
    <n v="6.56"/>
    <n v="2.79"/>
    <s v="High"/>
    <n v="2011"/>
  </r>
  <r>
    <s v="IN-2014-16852"/>
    <x v="328"/>
    <x v="330"/>
    <s v="First Class"/>
    <x v="313"/>
    <x v="2"/>
    <s v="Tamil Nadu"/>
    <s v="India"/>
    <s v="APAC"/>
    <x v="3"/>
    <s v="TEC-AC-10002533"/>
    <x v="2"/>
    <x v="11"/>
    <x v="459"/>
    <n v="458"/>
    <n v="4"/>
    <x v="1"/>
    <n v="73.319999999999993"/>
    <n v="87.4"/>
    <s v="High"/>
    <n v="2014"/>
  </r>
  <r>
    <s v="ES-2013-1680695"/>
    <x v="294"/>
    <x v="362"/>
    <s v="Standard Class"/>
    <x v="158"/>
    <x v="2"/>
    <s v="AndalusÃ­a"/>
    <s v="Spain"/>
    <s v="EU"/>
    <x v="1"/>
    <s v="OFF-ST-10002172"/>
    <x v="0"/>
    <x v="3"/>
    <x v="460"/>
    <n v="103"/>
    <n v="2"/>
    <x v="2"/>
    <n v="-3.4980000000000002"/>
    <n v="15.85"/>
    <s v="High"/>
    <n v="2013"/>
  </r>
  <r>
    <s v="MX-2011-144827"/>
    <x v="329"/>
    <x v="364"/>
    <s v="Second Class"/>
    <x v="362"/>
    <x v="0"/>
    <s v="Distrito Federal"/>
    <s v="Mexico"/>
    <s v="LATAM"/>
    <x v="6"/>
    <s v="OFF-PA-10001004"/>
    <x v="0"/>
    <x v="7"/>
    <x v="461"/>
    <n v="70"/>
    <n v="6"/>
    <x v="1"/>
    <n v="25.32"/>
    <n v="14.74"/>
    <s v="Critical"/>
    <n v="2011"/>
  </r>
  <r>
    <s v="US-2013-167472"/>
    <x v="330"/>
    <x v="215"/>
    <s v="First Class"/>
    <x v="363"/>
    <x v="2"/>
    <s v="Arkansas"/>
    <s v="United States"/>
    <s v="US"/>
    <x v="1"/>
    <s v="OFF-BI-10001721"/>
    <x v="0"/>
    <x v="0"/>
    <x v="462"/>
    <n v="64"/>
    <n v="3"/>
    <x v="1"/>
    <n v="30.787199999999999"/>
    <n v="3.3"/>
    <s v="High"/>
    <n v="2013"/>
  </r>
  <r>
    <s v="IN-2011-60560"/>
    <x v="331"/>
    <x v="365"/>
    <s v="Standard Class"/>
    <x v="100"/>
    <x v="2"/>
    <s v="Queensland"/>
    <s v="Australia"/>
    <s v="APAC"/>
    <x v="9"/>
    <s v="TEC-CO-10004535"/>
    <x v="2"/>
    <x v="14"/>
    <x v="84"/>
    <n v="1432"/>
    <n v="5"/>
    <x v="2"/>
    <n v="413.49"/>
    <n v="129.06"/>
    <s v="High"/>
    <n v="2011"/>
  </r>
  <r>
    <s v="NI-2013-5540"/>
    <x v="330"/>
    <x v="347"/>
    <s v="Standard Class"/>
    <x v="81"/>
    <x v="1"/>
    <s v="Lagos"/>
    <s v="Nigeria"/>
    <s v="Africa"/>
    <x v="5"/>
    <s v="OFF-ACC-10003265"/>
    <x v="0"/>
    <x v="6"/>
    <x v="463"/>
    <n v="10"/>
    <n v="2"/>
    <x v="7"/>
    <n v="-7.032"/>
    <n v="0.74"/>
    <s v="Medium"/>
    <n v="2013"/>
  </r>
  <r>
    <s v="KE-2013-5450"/>
    <x v="332"/>
    <x v="366"/>
    <s v="Same Day"/>
    <x v="364"/>
    <x v="2"/>
    <s v="Nairobi"/>
    <s v="Kenya"/>
    <s v="Africa"/>
    <x v="5"/>
    <s v="OFF-ACM-10001029"/>
    <x v="0"/>
    <x v="15"/>
    <x v="464"/>
    <n v="69"/>
    <n v="2"/>
    <x v="1"/>
    <n v="15.84"/>
    <n v="22.15"/>
    <s v="Critical"/>
    <n v="2013"/>
  </r>
  <r>
    <s v="PL-2013-5500"/>
    <x v="333"/>
    <x v="367"/>
    <s v="Standard Class"/>
    <x v="365"/>
    <x v="2"/>
    <s v="Silesia"/>
    <s v="Poland"/>
    <s v="EMEA"/>
    <x v="4"/>
    <s v="OFF-BRE-10000493"/>
    <x v="0"/>
    <x v="1"/>
    <x v="465"/>
    <n v="124"/>
    <n v="2"/>
    <x v="1"/>
    <n v="53.16"/>
    <n v="5.2"/>
    <s v="Low"/>
    <n v="2013"/>
  </r>
  <r>
    <s v="MX-2012-115945"/>
    <x v="334"/>
    <x v="308"/>
    <s v="Standard Class"/>
    <x v="318"/>
    <x v="2"/>
    <s v="Distrito Federal"/>
    <s v="Mexico"/>
    <s v="LATAM"/>
    <x v="6"/>
    <s v="OFF-EN-10001443"/>
    <x v="0"/>
    <x v="16"/>
    <x v="466"/>
    <n v="30"/>
    <n v="3"/>
    <x v="1"/>
    <n v="11.76"/>
    <n v="1.44"/>
    <s v="High"/>
    <n v="2012"/>
  </r>
  <r>
    <s v="US-2011-165477"/>
    <x v="335"/>
    <x v="368"/>
    <s v="Standard Class"/>
    <x v="366"/>
    <x v="1"/>
    <s v="Distrito Federal"/>
    <s v="Mexico"/>
    <s v="LATAM"/>
    <x v="6"/>
    <s v="OFF-LA-10003459"/>
    <x v="0"/>
    <x v="4"/>
    <x v="467"/>
    <n v="14"/>
    <n v="2"/>
    <x v="1"/>
    <n v="0.28000000000000003"/>
    <n v="0.98"/>
    <s v="Medium"/>
    <n v="2011"/>
  </r>
  <r>
    <s v="CA-2012-164427"/>
    <x v="336"/>
    <x v="369"/>
    <s v="Standard Class"/>
    <x v="367"/>
    <x v="0"/>
    <s v="Mississippi"/>
    <s v="United States"/>
    <s v="US"/>
    <x v="1"/>
    <s v="TEC-AC-10004469"/>
    <x v="2"/>
    <x v="11"/>
    <x v="468"/>
    <n v="240"/>
    <n v="6"/>
    <x v="1"/>
    <n v="105.468"/>
    <n v="15.46"/>
    <s v="Medium"/>
    <n v="2012"/>
  </r>
  <r>
    <s v="CA-2012-124891"/>
    <x v="336"/>
    <x v="370"/>
    <s v="Same Day"/>
    <x v="31"/>
    <x v="2"/>
    <s v="New York"/>
    <s v="United States"/>
    <s v="US"/>
    <x v="12"/>
    <s v="OFF-PA-10004621"/>
    <x v="0"/>
    <x v="7"/>
    <x v="469"/>
    <n v="19"/>
    <n v="3"/>
    <x v="1"/>
    <n v="9.3312000000000008"/>
    <n v="7.24"/>
    <s v="Critical"/>
    <n v="2012"/>
  </r>
  <r>
    <s v="IT-2013-1537853"/>
    <x v="337"/>
    <x v="371"/>
    <s v="Second Class"/>
    <x v="368"/>
    <x v="2"/>
    <s v="Midi-PyrÃ©nÃ©es"/>
    <s v="France"/>
    <s v="EU"/>
    <x v="2"/>
    <s v="FUR-BO-10004824"/>
    <x v="1"/>
    <x v="13"/>
    <x v="470"/>
    <n v="267"/>
    <n v="2"/>
    <x v="2"/>
    <n v="17.771999999999998"/>
    <n v="36.75"/>
    <s v="High"/>
    <n v="2013"/>
  </r>
  <r>
    <s v="US-2011-114965"/>
    <x v="338"/>
    <x v="372"/>
    <s v="Standard Class"/>
    <x v="354"/>
    <x v="2"/>
    <s v="Bahia"/>
    <s v="Brazil"/>
    <s v="LATAM"/>
    <x v="1"/>
    <s v="OFF-AR-10003897"/>
    <x v="0"/>
    <x v="5"/>
    <x v="471"/>
    <n v="45"/>
    <n v="6"/>
    <x v="3"/>
    <n v="-45.863999999999997"/>
    <n v="2.66"/>
    <s v="Medium"/>
    <n v="2011"/>
  </r>
  <r>
    <s v="MO-2012-2390"/>
    <x v="334"/>
    <x v="308"/>
    <s v="Second Class"/>
    <x v="369"/>
    <x v="2"/>
    <s v="Rabat-SalÃ©-Zemmour-Zaer"/>
    <s v="Morocco"/>
    <s v="Africa"/>
    <x v="5"/>
    <s v="OFF-BIN-10002061"/>
    <x v="0"/>
    <x v="5"/>
    <x v="472"/>
    <n v="185"/>
    <n v="4"/>
    <x v="1"/>
    <n v="48.12"/>
    <n v="16.809999999999999"/>
    <s v="High"/>
    <n v="2012"/>
  </r>
  <r>
    <s v="MX-2013-141159"/>
    <x v="330"/>
    <x v="347"/>
    <s v="Standard Class"/>
    <x v="370"/>
    <x v="1"/>
    <s v="YucatÃ¡n"/>
    <s v="Mexico"/>
    <s v="LATAM"/>
    <x v="6"/>
    <s v="OFF-AP-10004227"/>
    <x v="0"/>
    <x v="1"/>
    <x v="473"/>
    <n v="664"/>
    <n v="2"/>
    <x v="1"/>
    <n v="166.08"/>
    <n v="74.31"/>
    <s v="Medium"/>
    <n v="2013"/>
  </r>
  <r>
    <s v="ES-2013-1253344"/>
    <x v="330"/>
    <x v="373"/>
    <s v="Standard Class"/>
    <x v="355"/>
    <x v="2"/>
    <s v="Piedmont"/>
    <s v="Italy"/>
    <s v="EU"/>
    <x v="1"/>
    <s v="OFF-SU-10003209"/>
    <x v="0"/>
    <x v="15"/>
    <x v="474"/>
    <n v="24"/>
    <n v="1"/>
    <x v="1"/>
    <n v="11.1"/>
    <n v="2.52"/>
    <s v="Medium"/>
    <n v="2013"/>
  </r>
  <r>
    <s v="ES-2012-5100288"/>
    <x v="339"/>
    <x v="374"/>
    <s v="First Class"/>
    <x v="227"/>
    <x v="0"/>
    <s v="Oslo"/>
    <s v="Norway"/>
    <s v="EU"/>
    <x v="6"/>
    <s v="OFF-LA-10004132"/>
    <x v="0"/>
    <x v="4"/>
    <x v="331"/>
    <n v="26"/>
    <n v="2"/>
    <x v="1"/>
    <n v="10.8"/>
    <n v="0.43"/>
    <s v="Medium"/>
    <n v="2012"/>
  </r>
  <r>
    <s v="MX-2012-158925"/>
    <x v="340"/>
    <x v="375"/>
    <s v="Standard Class"/>
    <x v="371"/>
    <x v="2"/>
    <s v="Guatemala"/>
    <s v="Guatemala"/>
    <s v="LATAM"/>
    <x v="2"/>
    <s v="FUR-BO-10002471"/>
    <x v="1"/>
    <x v="13"/>
    <x v="475"/>
    <n v="449"/>
    <n v="4"/>
    <x v="1"/>
    <n v="35.840000000000003"/>
    <n v="24.37"/>
    <s v="Medium"/>
    <n v="2012"/>
  </r>
  <r>
    <s v="IT-2014-5137649"/>
    <x v="341"/>
    <x v="376"/>
    <s v="Second Class"/>
    <x v="370"/>
    <x v="1"/>
    <s v="Limburg"/>
    <s v="Netherlands"/>
    <s v="EU"/>
    <x v="2"/>
    <s v="TEC-PH-10000956"/>
    <x v="2"/>
    <x v="9"/>
    <x v="476"/>
    <n v="260"/>
    <n v="4"/>
    <x v="4"/>
    <n v="-145.44"/>
    <n v="34.82"/>
    <s v="Medium"/>
    <n v="2014"/>
  </r>
  <r>
    <s v="IT-2014-5707545"/>
    <x v="342"/>
    <x v="322"/>
    <s v="Standard Class"/>
    <x v="16"/>
    <x v="2"/>
    <s v="Midi-PyrÃ©nÃ©es"/>
    <s v="France"/>
    <s v="EU"/>
    <x v="2"/>
    <s v="TEC-AC-10003343"/>
    <x v="2"/>
    <x v="11"/>
    <x v="477"/>
    <n v="227"/>
    <n v="8"/>
    <x v="1"/>
    <n v="101.76"/>
    <n v="15.58"/>
    <s v="Medium"/>
    <n v="2014"/>
  </r>
  <r>
    <s v="ES-2013-3167494"/>
    <x v="343"/>
    <x v="377"/>
    <s v="Standard Class"/>
    <x v="173"/>
    <x v="2"/>
    <s v="Sicily"/>
    <s v="Italy"/>
    <s v="EU"/>
    <x v="1"/>
    <s v="OFF-AR-10002805"/>
    <x v="0"/>
    <x v="5"/>
    <x v="478"/>
    <n v="486"/>
    <n v="10"/>
    <x v="1"/>
    <n v="208.8"/>
    <n v="46.89"/>
    <s v="High"/>
    <n v="2013"/>
  </r>
  <r>
    <s v="NI-2014-3890"/>
    <x v="344"/>
    <x v="378"/>
    <s v="Standard Class"/>
    <x v="117"/>
    <x v="0"/>
    <s v="Oyo"/>
    <s v="Nigeria"/>
    <s v="Africa"/>
    <x v="5"/>
    <s v="OFF-SAN-10004288"/>
    <x v="0"/>
    <x v="5"/>
    <x v="30"/>
    <n v="55"/>
    <n v="4"/>
    <x v="7"/>
    <n v="-121.944"/>
    <n v="5.05"/>
    <s v="Medium"/>
    <n v="2014"/>
  </r>
  <r>
    <s v="CA-2011-143903"/>
    <x v="345"/>
    <x v="379"/>
    <s v="Standard Class"/>
    <x v="372"/>
    <x v="1"/>
    <s v="Texas"/>
    <s v="United States"/>
    <s v="US"/>
    <x v="2"/>
    <s v="FUR-CH-10002024"/>
    <x v="1"/>
    <x v="8"/>
    <x v="479"/>
    <n v="981"/>
    <n v="2"/>
    <x v="8"/>
    <n v="-140.196"/>
    <n v="85.32"/>
    <s v="High"/>
    <n v="2011"/>
  </r>
  <r>
    <s v="TZ-2012-220"/>
    <x v="346"/>
    <x v="380"/>
    <s v="Standard Class"/>
    <x v="183"/>
    <x v="2"/>
    <s v="Dar Es Salaam"/>
    <s v="Tanzania"/>
    <s v="Africa"/>
    <x v="5"/>
    <s v="OFF-CAR-10003030"/>
    <x v="0"/>
    <x v="0"/>
    <x v="213"/>
    <n v="35"/>
    <n v="4"/>
    <x v="1"/>
    <n v="16.079999999999998"/>
    <n v="0.74"/>
    <s v="Medium"/>
    <n v="2012"/>
  </r>
  <r>
    <s v="MX-2011-103345"/>
    <x v="347"/>
    <x v="381"/>
    <s v="Standard Class"/>
    <x v="365"/>
    <x v="2"/>
    <s v="Nuevo LeÃ³n"/>
    <s v="Mexico"/>
    <s v="LATAM"/>
    <x v="6"/>
    <s v="TEC-CO-10003694"/>
    <x v="2"/>
    <x v="14"/>
    <x v="480"/>
    <n v="759"/>
    <n v="3"/>
    <x v="9"/>
    <n v="44.079000000000001"/>
    <n v="43.12"/>
    <s v="Medium"/>
    <n v="2011"/>
  </r>
  <r>
    <s v="IN-2012-13037"/>
    <x v="348"/>
    <x v="382"/>
    <s v="Standard Class"/>
    <x v="283"/>
    <x v="0"/>
    <s v="Haryana"/>
    <s v="India"/>
    <s v="APAC"/>
    <x v="3"/>
    <s v="OFF-PA-10001835"/>
    <x v="0"/>
    <x v="7"/>
    <x v="481"/>
    <n v="68"/>
    <n v="2"/>
    <x v="1"/>
    <n v="0"/>
    <n v="1.91"/>
    <s v="Medium"/>
    <n v="2012"/>
  </r>
  <r>
    <s v="IN-2013-64368"/>
    <x v="349"/>
    <x v="383"/>
    <s v="Standard Class"/>
    <x v="88"/>
    <x v="0"/>
    <s v="Hubei"/>
    <s v="China"/>
    <s v="APAC"/>
    <x v="8"/>
    <s v="FUR-FU-10004797"/>
    <x v="1"/>
    <x v="2"/>
    <x v="374"/>
    <n v="22"/>
    <n v="1"/>
    <x v="1"/>
    <n v="3.78"/>
    <n v="3.57"/>
    <s v="Low"/>
    <n v="2013"/>
  </r>
  <r>
    <s v="MX-2013-153094"/>
    <x v="350"/>
    <x v="384"/>
    <s v="Standard Class"/>
    <x v="373"/>
    <x v="2"/>
    <s v="Tamaulipas"/>
    <s v="Mexico"/>
    <s v="LATAM"/>
    <x v="6"/>
    <s v="FUR-CH-10002653"/>
    <x v="1"/>
    <x v="8"/>
    <x v="482"/>
    <n v="229"/>
    <n v="3"/>
    <x v="6"/>
    <n v="0"/>
    <n v="13.04"/>
    <s v="Medium"/>
    <n v="2013"/>
  </r>
  <r>
    <s v="ZA-2012-3540"/>
    <x v="351"/>
    <x v="385"/>
    <s v="Second Class"/>
    <x v="372"/>
    <x v="1"/>
    <s v="Copperbelt"/>
    <s v="Zambia"/>
    <s v="Africa"/>
    <x v="5"/>
    <s v="OFF-IBI-10003422"/>
    <x v="0"/>
    <x v="0"/>
    <x v="483"/>
    <n v="34"/>
    <n v="2"/>
    <x v="1"/>
    <n v="0.96"/>
    <n v="4.76"/>
    <s v="High"/>
    <n v="2012"/>
  </r>
  <r>
    <s v="US-2011-124310"/>
    <x v="352"/>
    <x v="386"/>
    <s v="Standard Class"/>
    <x v="374"/>
    <x v="0"/>
    <s v="Rio de Janeiro"/>
    <s v="Brazil"/>
    <s v="LATAM"/>
    <x v="1"/>
    <s v="OFF-SU-10000113"/>
    <x v="0"/>
    <x v="15"/>
    <x v="484"/>
    <n v="41"/>
    <n v="3"/>
    <x v="3"/>
    <n v="-35.088000000000001"/>
    <n v="5.07"/>
    <s v="Low"/>
    <n v="2011"/>
  </r>
  <r>
    <s v="NI-2012-1930"/>
    <x v="353"/>
    <x v="382"/>
    <s v="Standard Class"/>
    <x v="128"/>
    <x v="1"/>
    <s v="Kano"/>
    <s v="Nigeria"/>
    <s v="Africa"/>
    <x v="5"/>
    <s v="OFF-SME-10002740"/>
    <x v="0"/>
    <x v="3"/>
    <x v="485"/>
    <n v="60"/>
    <n v="1"/>
    <x v="7"/>
    <n v="-49.634999999999998"/>
    <n v="2.54"/>
    <s v="Medium"/>
    <n v="2012"/>
  </r>
  <r>
    <s v="US-2011-112984"/>
    <x v="354"/>
    <x v="387"/>
    <s v="Second Class"/>
    <x v="207"/>
    <x v="2"/>
    <s v="Francisco MorazÃ¡n"/>
    <s v="Honduras"/>
    <s v="LATAM"/>
    <x v="2"/>
    <s v="OFF-BI-10000821"/>
    <x v="0"/>
    <x v="0"/>
    <x v="287"/>
    <n v="13"/>
    <n v="4"/>
    <x v="5"/>
    <n v="-1.744"/>
    <n v="2.67"/>
    <s v="High"/>
    <n v="2011"/>
  </r>
  <r>
    <s v="IN-2013-24762"/>
    <x v="355"/>
    <x v="388"/>
    <s v="Second Class"/>
    <x v="375"/>
    <x v="1"/>
    <s v="Queensland"/>
    <s v="Australia"/>
    <s v="APAC"/>
    <x v="9"/>
    <s v="TEC-AC-10004704"/>
    <x v="2"/>
    <x v="11"/>
    <x v="486"/>
    <n v="96"/>
    <n v="2"/>
    <x v="2"/>
    <n v="20.148"/>
    <n v="12.71"/>
    <s v="Medium"/>
    <n v="2013"/>
  </r>
  <r>
    <s v="US-2014-136868"/>
    <x v="356"/>
    <x v="389"/>
    <s v="Standard Class"/>
    <x v="376"/>
    <x v="1"/>
    <s v="New York"/>
    <s v="United States"/>
    <s v="US"/>
    <x v="12"/>
    <s v="OFF-PA-10002377"/>
    <x v="0"/>
    <x v="7"/>
    <x v="487"/>
    <n v="17"/>
    <n v="3"/>
    <x v="1"/>
    <n v="7.6680000000000001"/>
    <n v="1.57"/>
    <s v="Medium"/>
    <n v="2014"/>
  </r>
  <r>
    <s v="IN-2013-26659"/>
    <x v="357"/>
    <x v="390"/>
    <s v="Standard Class"/>
    <x v="377"/>
    <x v="0"/>
    <s v="Uttar Pradesh"/>
    <s v="India"/>
    <s v="APAC"/>
    <x v="3"/>
    <s v="FUR-BO-10004529"/>
    <x v="1"/>
    <x v="13"/>
    <x v="488"/>
    <n v="840"/>
    <n v="5"/>
    <x v="1"/>
    <n v="100.8"/>
    <n v="172.19"/>
    <s v="Low"/>
    <n v="2013"/>
  </r>
  <r>
    <s v="CA-2014-100013"/>
    <x v="342"/>
    <x v="391"/>
    <s v="Standard Class"/>
    <x v="378"/>
    <x v="2"/>
    <s v="California"/>
    <s v="United States"/>
    <s v="US"/>
    <x v="7"/>
    <s v="FUR-FU-10001424"/>
    <x v="1"/>
    <x v="2"/>
    <x v="176"/>
    <n v="9"/>
    <n v="1"/>
    <x v="1"/>
    <n v="2.9681999999999999"/>
    <n v="0.56999999999999995"/>
    <s v="Medium"/>
    <n v="2014"/>
  </r>
  <r>
    <s v="ES-2012-1439531"/>
    <x v="351"/>
    <x v="392"/>
    <s v="Standard Class"/>
    <x v="379"/>
    <x v="2"/>
    <s v="Madrid"/>
    <s v="Spain"/>
    <s v="EU"/>
    <x v="1"/>
    <s v="OFF-AP-10003184"/>
    <x v="0"/>
    <x v="1"/>
    <x v="489"/>
    <n v="1142"/>
    <n v="2"/>
    <x v="1"/>
    <n v="411"/>
    <n v="71.959999999999994"/>
    <s v="Medium"/>
    <n v="2012"/>
  </r>
  <r>
    <s v="IN-2012-19043"/>
    <x v="358"/>
    <x v="393"/>
    <s v="Standard Class"/>
    <x v="380"/>
    <x v="2"/>
    <s v="T?nh C?n Th?"/>
    <s v="Vietnam"/>
    <s v="APAC"/>
    <x v="0"/>
    <s v="OFF-FA-10004545"/>
    <x v="0"/>
    <x v="6"/>
    <x v="490"/>
    <n v="23"/>
    <n v="2"/>
    <x v="0"/>
    <n v="6.726"/>
    <n v="2.21"/>
    <s v="Medium"/>
    <n v="2012"/>
  </r>
  <r>
    <s v="ID-2013-49248"/>
    <x v="355"/>
    <x v="252"/>
    <s v="First Class"/>
    <x v="381"/>
    <x v="0"/>
    <s v="Ho ChÃ­ Minh City"/>
    <s v="Vietnam"/>
    <s v="APAC"/>
    <x v="0"/>
    <s v="OFF-ST-10001534"/>
    <x v="0"/>
    <x v="3"/>
    <x v="180"/>
    <n v="89"/>
    <n v="6"/>
    <x v="0"/>
    <n v="31.1706"/>
    <n v="18.989999999999998"/>
    <s v="High"/>
    <n v="2013"/>
  </r>
  <r>
    <s v="RO-2014-7230"/>
    <x v="359"/>
    <x v="394"/>
    <s v="Standard Class"/>
    <x v="382"/>
    <x v="2"/>
    <s v="Buzau"/>
    <s v="Romania"/>
    <s v="EMEA"/>
    <x v="4"/>
    <s v="OFF-SAN-10001074"/>
    <x v="0"/>
    <x v="7"/>
    <x v="491"/>
    <n v="95"/>
    <n v="4"/>
    <x v="1"/>
    <n v="24.72"/>
    <n v="7.17"/>
    <s v="Medium"/>
    <n v="2014"/>
  </r>
  <r>
    <s v="MX-2014-121986"/>
    <x v="360"/>
    <x v="395"/>
    <s v="Standard Class"/>
    <x v="107"/>
    <x v="2"/>
    <s v="Parana"/>
    <s v="Brazil"/>
    <s v="LATAM"/>
    <x v="1"/>
    <s v="OFF-SU-10003082"/>
    <x v="0"/>
    <x v="15"/>
    <x v="492"/>
    <n v="79"/>
    <n v="3"/>
    <x v="1"/>
    <n v="18.12"/>
    <n v="7.23"/>
    <s v="Medium"/>
    <n v="2014"/>
  </r>
  <r>
    <s v="IN-2014-78802"/>
    <x v="344"/>
    <x v="396"/>
    <s v="Standard Class"/>
    <x v="253"/>
    <x v="1"/>
    <s v="Bangkok"/>
    <s v="Thailand"/>
    <s v="APAC"/>
    <x v="0"/>
    <s v="TEC-AC-10000332"/>
    <x v="2"/>
    <x v="11"/>
    <x v="493"/>
    <n v="347"/>
    <n v="9"/>
    <x v="13"/>
    <n v="-104.8518"/>
    <n v="21.13"/>
    <s v="High"/>
    <n v="2014"/>
  </r>
  <r>
    <s v="MA-2013-870"/>
    <x v="361"/>
    <x v="366"/>
    <s v="Standard Class"/>
    <x v="383"/>
    <x v="2"/>
    <s v="Analamanga"/>
    <s v="Madagascar"/>
    <s v="Africa"/>
    <x v="5"/>
    <s v="OFF-BIN-10003023"/>
    <x v="0"/>
    <x v="5"/>
    <x v="494"/>
    <n v="190"/>
    <n v="4"/>
    <x v="1"/>
    <n v="9.48"/>
    <n v="16.079999999999998"/>
    <s v="Medium"/>
    <n v="2013"/>
  </r>
  <r>
    <s v="MX-2012-119641"/>
    <x v="362"/>
    <x v="397"/>
    <s v="Second Class"/>
    <x v="384"/>
    <x v="0"/>
    <s v="Distrito Federal"/>
    <s v="Mexico"/>
    <s v="LATAM"/>
    <x v="6"/>
    <s v="OFF-LA-10002068"/>
    <x v="0"/>
    <x v="4"/>
    <x v="495"/>
    <n v="7"/>
    <n v="1"/>
    <x v="1"/>
    <n v="2.38"/>
    <n v="0.2"/>
    <s v="Medium"/>
    <n v="2012"/>
  </r>
  <r>
    <s v="ES-2011-1656997"/>
    <x v="363"/>
    <x v="379"/>
    <s v="Second Class"/>
    <x v="385"/>
    <x v="1"/>
    <s v="England"/>
    <s v="United Kingdom"/>
    <s v="EU"/>
    <x v="6"/>
    <s v="OFF-BI-10003999"/>
    <x v="0"/>
    <x v="0"/>
    <x v="39"/>
    <n v="12"/>
    <n v="3"/>
    <x v="1"/>
    <n v="1.08"/>
    <n v="0.82"/>
    <s v="Medium"/>
    <n v="2011"/>
  </r>
  <r>
    <s v="IN-2012-44705"/>
    <x v="334"/>
    <x v="308"/>
    <s v="Standard Class"/>
    <x v="386"/>
    <x v="0"/>
    <s v="National Capital"/>
    <s v="Philippines"/>
    <s v="APAC"/>
    <x v="0"/>
    <s v="FUR-CH-10002573"/>
    <x v="1"/>
    <x v="8"/>
    <x v="387"/>
    <n v="698"/>
    <n v="2"/>
    <x v="19"/>
    <n v="-74.400000000000006"/>
    <n v="72.709999999999994"/>
    <s v="Medium"/>
    <n v="2012"/>
  </r>
  <r>
    <s v="US-2013-168095"/>
    <x v="349"/>
    <x v="398"/>
    <s v="Standard Class"/>
    <x v="387"/>
    <x v="0"/>
    <s v="Oregon"/>
    <s v="United States"/>
    <s v="US"/>
    <x v="7"/>
    <s v="FUR-CH-10004886"/>
    <x v="1"/>
    <x v="8"/>
    <x v="496"/>
    <n v="230"/>
    <n v="3"/>
    <x v="6"/>
    <n v="23.027999999999999"/>
    <n v="14.18"/>
    <s v="Medium"/>
    <n v="2013"/>
  </r>
  <r>
    <s v="ES-2014-4451711"/>
    <x v="364"/>
    <x v="38"/>
    <s v="Standard Class"/>
    <x v="388"/>
    <x v="1"/>
    <s v="Piedmont"/>
    <s v="Italy"/>
    <s v="EU"/>
    <x v="1"/>
    <s v="OFF-LA-10001284"/>
    <x v="0"/>
    <x v="4"/>
    <x v="497"/>
    <n v="51"/>
    <n v="7"/>
    <x v="1"/>
    <n v="2.52"/>
    <n v="5.93"/>
    <s v="Medium"/>
    <n v="2014"/>
  </r>
  <r>
    <s v="ES-2014-1808409"/>
    <x v="365"/>
    <x v="399"/>
    <s v="Second Class"/>
    <x v="389"/>
    <x v="2"/>
    <s v="Lazio"/>
    <s v="Italy"/>
    <s v="EU"/>
    <x v="1"/>
    <s v="TEC-CO-10000178"/>
    <x v="2"/>
    <x v="14"/>
    <x v="498"/>
    <n v="446"/>
    <n v="3"/>
    <x v="1"/>
    <n v="53.46"/>
    <n v="26.53"/>
    <s v="Medium"/>
    <n v="2014"/>
  </r>
  <r>
    <s v="US-2011-144729"/>
    <x v="366"/>
    <x v="379"/>
    <s v="First Class"/>
    <x v="390"/>
    <x v="0"/>
    <s v="Panama"/>
    <s v="Panama"/>
    <s v="LATAM"/>
    <x v="2"/>
    <s v="TEC-PH-10004287"/>
    <x v="2"/>
    <x v="9"/>
    <x v="499"/>
    <n v="146"/>
    <n v="4"/>
    <x v="5"/>
    <n v="-68.176000000000002"/>
    <n v="18.600000000000001"/>
    <s v="Medium"/>
    <n v="2011"/>
  </r>
  <r>
    <s v="IN-2014-82652"/>
    <x v="367"/>
    <x v="400"/>
    <s v="Standard Class"/>
    <x v="391"/>
    <x v="2"/>
    <s v="New South Wales"/>
    <s v="Australia"/>
    <s v="APAC"/>
    <x v="9"/>
    <s v="OFF-SU-10001488"/>
    <x v="0"/>
    <x v="15"/>
    <x v="500"/>
    <n v="23"/>
    <n v="1"/>
    <x v="1"/>
    <n v="0.45"/>
    <n v="1.67"/>
    <s v="Medium"/>
    <n v="2014"/>
  </r>
  <r>
    <s v="IN-2012-85480"/>
    <x v="362"/>
    <x v="401"/>
    <s v="First Class"/>
    <x v="392"/>
    <x v="0"/>
    <s v="Bay of Plenty"/>
    <s v="New Zealand"/>
    <s v="APAC"/>
    <x v="9"/>
    <s v="FUR-BO-10000021"/>
    <x v="1"/>
    <x v="13"/>
    <x v="501"/>
    <n v="243"/>
    <n v="2"/>
    <x v="1"/>
    <n v="102.06"/>
    <n v="33.090000000000003"/>
    <s v="High"/>
    <n v="2012"/>
  </r>
  <r>
    <s v="CA-2012-140025"/>
    <x v="368"/>
    <x v="402"/>
    <s v="Standard Class"/>
    <x v="393"/>
    <x v="2"/>
    <s v="Texas"/>
    <s v="United States"/>
    <s v="US"/>
    <x v="2"/>
    <s v="TEC-AC-10002402"/>
    <x v="2"/>
    <x v="11"/>
    <x v="502"/>
    <n v="384"/>
    <n v="6"/>
    <x v="6"/>
    <n v="47.994"/>
    <n v="40.020000000000003"/>
    <s v="Medium"/>
    <n v="2012"/>
  </r>
  <r>
    <s v="ES-2012-3208808"/>
    <x v="369"/>
    <x v="403"/>
    <s v="First Class"/>
    <x v="394"/>
    <x v="2"/>
    <s v="Centre"/>
    <s v="France"/>
    <s v="EU"/>
    <x v="2"/>
    <s v="TEC-PH-10001070"/>
    <x v="2"/>
    <x v="9"/>
    <x v="407"/>
    <n v="187"/>
    <n v="3"/>
    <x v="12"/>
    <n v="59.359499999999997"/>
    <n v="25.7"/>
    <s v="High"/>
    <n v="2012"/>
  </r>
  <r>
    <s v="CA-2013-144855"/>
    <x v="370"/>
    <x v="404"/>
    <s v="Second Class"/>
    <x v="395"/>
    <x v="0"/>
    <s v="California"/>
    <s v="United States"/>
    <s v="US"/>
    <x v="7"/>
    <s v="OFF-LA-10003766"/>
    <x v="0"/>
    <x v="4"/>
    <x v="503"/>
    <n v="6"/>
    <n v="2"/>
    <x v="1"/>
    <n v="3.024"/>
    <n v="1.6"/>
    <s v="Critical"/>
    <n v="2013"/>
  </r>
  <r>
    <s v="MX-2012-122273"/>
    <x v="371"/>
    <x v="370"/>
    <s v="Standard Class"/>
    <x v="396"/>
    <x v="2"/>
    <s v="SÃ£o Paulo"/>
    <s v="Brazil"/>
    <s v="LATAM"/>
    <x v="1"/>
    <s v="FUR-CH-10002088"/>
    <x v="1"/>
    <x v="8"/>
    <x v="504"/>
    <n v="225"/>
    <n v="4"/>
    <x v="1"/>
    <n v="54"/>
    <n v="13.73"/>
    <s v="Medium"/>
    <n v="2012"/>
  </r>
  <r>
    <s v="CG-2014-870"/>
    <x v="372"/>
    <x v="400"/>
    <s v="Second Class"/>
    <x v="397"/>
    <x v="2"/>
    <s v="Kinshasa"/>
    <s v="Democratic Republic of the Congo"/>
    <s v="Africa"/>
    <x v="5"/>
    <s v="OFF-BIC-10001211"/>
    <x v="0"/>
    <x v="5"/>
    <x v="505"/>
    <n v="22"/>
    <n v="1"/>
    <x v="1"/>
    <n v="3.96"/>
    <n v="2.99"/>
    <s v="High"/>
    <n v="2014"/>
  </r>
  <r>
    <s v="IN-2013-46896"/>
    <x v="349"/>
    <x v="405"/>
    <s v="Standard Class"/>
    <x v="360"/>
    <x v="1"/>
    <s v="Western"/>
    <s v="Sri Lanka"/>
    <s v="APAC"/>
    <x v="3"/>
    <s v="OFF-BI-10003309"/>
    <x v="0"/>
    <x v="0"/>
    <x v="312"/>
    <n v="64"/>
    <n v="6"/>
    <x v="1"/>
    <n v="15.84"/>
    <n v="2.96"/>
    <s v="Medium"/>
    <n v="2013"/>
  </r>
  <r>
    <s v="IT-2012-2197138"/>
    <x v="373"/>
    <x v="406"/>
    <s v="Standard Class"/>
    <x v="261"/>
    <x v="2"/>
    <s v="Provence-Alpes-CÃ´te d'Azur"/>
    <s v="France"/>
    <s v="EU"/>
    <x v="2"/>
    <s v="TEC-CO-10002686"/>
    <x v="2"/>
    <x v="14"/>
    <x v="506"/>
    <n v="816"/>
    <n v="3"/>
    <x v="12"/>
    <n v="-95.994"/>
    <n v="85.36"/>
    <s v="High"/>
    <n v="2012"/>
  </r>
  <r>
    <s v="UZ-2011-8840"/>
    <x v="354"/>
    <x v="253"/>
    <s v="First Class"/>
    <x v="128"/>
    <x v="1"/>
    <s v="Namangan"/>
    <s v="Uzbekistan"/>
    <s v="EMEA"/>
    <x v="4"/>
    <s v="OFF-ELD-10001037"/>
    <x v="0"/>
    <x v="3"/>
    <x v="90"/>
    <n v="47"/>
    <n v="1"/>
    <x v="1"/>
    <n v="18.329999999999998"/>
    <n v="7.71"/>
    <s v="Critical"/>
    <n v="2011"/>
  </r>
  <r>
    <s v="ID-2011-21402"/>
    <x v="374"/>
    <x v="364"/>
    <s v="Second Class"/>
    <x v="74"/>
    <x v="2"/>
    <s v="Western Australia"/>
    <s v="Australia"/>
    <s v="APAC"/>
    <x v="9"/>
    <s v="FUR-CH-10001695"/>
    <x v="1"/>
    <x v="8"/>
    <x v="507"/>
    <n v="267"/>
    <n v="4"/>
    <x v="2"/>
    <n v="-26.82"/>
    <n v="17.829999999999998"/>
    <s v="High"/>
    <n v="2011"/>
  </r>
  <r>
    <s v="CA-2013-120180"/>
    <x v="375"/>
    <x v="407"/>
    <s v="First Class"/>
    <x v="219"/>
    <x v="2"/>
    <s v="Pennsylvania"/>
    <s v="United States"/>
    <s v="US"/>
    <x v="12"/>
    <s v="OFF-SU-10004115"/>
    <x v="0"/>
    <x v="15"/>
    <x v="508"/>
    <n v="12"/>
    <n v="2"/>
    <x v="6"/>
    <n v="1.0178"/>
    <n v="0.59"/>
    <s v="Medium"/>
    <n v="2013"/>
  </r>
  <r>
    <s v="US-2011-150406"/>
    <x v="366"/>
    <x v="408"/>
    <s v="Standard Class"/>
    <x v="369"/>
    <x v="2"/>
    <s v="MaranhÃ£o"/>
    <s v="Brazil"/>
    <s v="LATAM"/>
    <x v="1"/>
    <s v="FUR-BO-10000517"/>
    <x v="1"/>
    <x v="13"/>
    <x v="509"/>
    <n v="260"/>
    <n v="8"/>
    <x v="3"/>
    <n v="-358.048"/>
    <n v="28.07"/>
    <s v="High"/>
    <n v="2011"/>
  </r>
  <r>
    <s v="ID-2011-17286"/>
    <x v="329"/>
    <x v="409"/>
    <s v="Second Class"/>
    <x v="398"/>
    <x v="2"/>
    <s v="Bangkok"/>
    <s v="Thailand"/>
    <s v="APAC"/>
    <x v="0"/>
    <s v="OFF-ST-10000752"/>
    <x v="0"/>
    <x v="3"/>
    <x v="170"/>
    <n v="217"/>
    <n v="3"/>
    <x v="13"/>
    <n v="-24.625800000000002"/>
    <n v="40.299999999999997"/>
    <s v="High"/>
    <n v="2011"/>
  </r>
  <r>
    <s v="MX-2014-112431"/>
    <x v="344"/>
    <x v="410"/>
    <s v="Standard Class"/>
    <x v="399"/>
    <x v="0"/>
    <s v="San Salvador"/>
    <s v="El Salvador"/>
    <s v="LATAM"/>
    <x v="2"/>
    <s v="OFF-SU-10000979"/>
    <x v="0"/>
    <x v="15"/>
    <x v="166"/>
    <n v="170"/>
    <n v="8"/>
    <x v="1"/>
    <n v="74.56"/>
    <n v="8.58"/>
    <s v="Medium"/>
    <n v="2014"/>
  </r>
  <r>
    <s v="CA-2011-117464"/>
    <x v="363"/>
    <x v="379"/>
    <s v="Second Class"/>
    <x v="328"/>
    <x v="2"/>
    <s v="California"/>
    <s v="United States"/>
    <s v="US"/>
    <x v="7"/>
    <s v="FUR-TA-10004767"/>
    <x v="1"/>
    <x v="12"/>
    <x v="510"/>
    <n v="170"/>
    <n v="3"/>
    <x v="6"/>
    <n v="19.1646"/>
    <n v="17.28"/>
    <s v="High"/>
    <n v="2011"/>
  </r>
  <r>
    <s v="ES-2014-5119760"/>
    <x v="376"/>
    <x v="411"/>
    <s v="First Class"/>
    <x v="400"/>
    <x v="2"/>
    <s v="Baden-WÃ¼rttemberg"/>
    <s v="Germany"/>
    <s v="EU"/>
    <x v="2"/>
    <s v="OFF-SU-10000906"/>
    <x v="0"/>
    <x v="15"/>
    <x v="511"/>
    <n v="191"/>
    <n v="4"/>
    <x v="1"/>
    <n v="93.36"/>
    <n v="57.32"/>
    <s v="Critical"/>
    <n v="2014"/>
  </r>
  <r>
    <s v="CA-2012-160472"/>
    <x v="377"/>
    <x v="382"/>
    <s v="Second Class"/>
    <x v="118"/>
    <x v="2"/>
    <s v="Indiana"/>
    <s v="United States"/>
    <s v="US"/>
    <x v="2"/>
    <s v="OFF-PA-10000528"/>
    <x v="0"/>
    <x v="7"/>
    <x v="512"/>
    <n v="26"/>
    <n v="5"/>
    <x v="1"/>
    <n v="11.88"/>
    <n v="1.08"/>
    <s v="Medium"/>
    <n v="2012"/>
  </r>
  <r>
    <s v="IN-2013-31825"/>
    <x v="378"/>
    <x v="412"/>
    <s v="Second Class"/>
    <x v="255"/>
    <x v="0"/>
    <s v="Karnataka"/>
    <s v="India"/>
    <s v="APAC"/>
    <x v="3"/>
    <s v="FUR-CH-10002932"/>
    <x v="1"/>
    <x v="8"/>
    <x v="381"/>
    <n v="150"/>
    <n v="1"/>
    <x v="1"/>
    <n v="14.94"/>
    <n v="10.039999999999999"/>
    <s v="Medium"/>
    <n v="2013"/>
  </r>
  <r>
    <s v="IN-2012-46560"/>
    <x v="346"/>
    <x v="413"/>
    <s v="Standard Class"/>
    <x v="401"/>
    <x v="1"/>
    <s v="Jakarta"/>
    <s v="Indonesia"/>
    <s v="APAC"/>
    <x v="0"/>
    <s v="TEC-MA-10001360"/>
    <x v="2"/>
    <x v="10"/>
    <x v="513"/>
    <n v="403"/>
    <n v="4"/>
    <x v="0"/>
    <n v="145.50239999999999"/>
    <n v="43.17"/>
    <s v="Medium"/>
    <n v="2012"/>
  </r>
  <r>
    <s v="IN-2014-48982"/>
    <x v="359"/>
    <x v="414"/>
    <s v="Second Class"/>
    <x v="340"/>
    <x v="1"/>
    <s v="Tamil Nadu"/>
    <s v="India"/>
    <s v="APAC"/>
    <x v="3"/>
    <s v="TEC-AC-10000596"/>
    <x v="2"/>
    <x v="11"/>
    <x v="514"/>
    <n v="449"/>
    <n v="4"/>
    <x v="1"/>
    <n v="188.4"/>
    <n v="53.54"/>
    <s v="High"/>
    <n v="2014"/>
  </r>
  <r>
    <s v="IT-2014-1555885"/>
    <x v="365"/>
    <x v="400"/>
    <s v="Standard Class"/>
    <x v="402"/>
    <x v="1"/>
    <s v="Stockholm"/>
    <s v="Sweden"/>
    <s v="EU"/>
    <x v="6"/>
    <s v="OFF-AR-10001110"/>
    <x v="0"/>
    <x v="5"/>
    <x v="515"/>
    <n v="32"/>
    <n v="2"/>
    <x v="4"/>
    <n v="-7.77"/>
    <n v="1.95"/>
    <s v="Medium"/>
    <n v="2014"/>
  </r>
  <r>
    <s v="CA-2012-146255"/>
    <x v="379"/>
    <x v="415"/>
    <s v="First Class"/>
    <x v="292"/>
    <x v="1"/>
    <s v="Delaware"/>
    <s v="United States"/>
    <s v="US"/>
    <x v="12"/>
    <s v="OFF-BI-10001765"/>
    <x v="0"/>
    <x v="0"/>
    <x v="516"/>
    <n v="69"/>
    <n v="2"/>
    <x v="1"/>
    <n v="33.254399999999997"/>
    <n v="17.940000000000001"/>
    <s v="High"/>
    <n v="2012"/>
  </r>
  <r>
    <s v="MX-2013-102092"/>
    <x v="343"/>
    <x v="404"/>
    <s v="Standard Class"/>
    <x v="121"/>
    <x v="0"/>
    <s v="Nuevo LeÃ³n"/>
    <s v="Mexico"/>
    <s v="LATAM"/>
    <x v="6"/>
    <s v="OFF-BI-10002455"/>
    <x v="0"/>
    <x v="0"/>
    <x v="517"/>
    <n v="63"/>
    <n v="3"/>
    <x v="1"/>
    <n v="9.48"/>
    <n v="3.28"/>
    <s v="Medium"/>
    <n v="2013"/>
  </r>
  <r>
    <s v="CA-2014-107720"/>
    <x v="342"/>
    <x v="416"/>
    <s v="Standard Class"/>
    <x v="403"/>
    <x v="1"/>
    <s v="New Jersey"/>
    <s v="United States"/>
    <s v="US"/>
    <x v="12"/>
    <s v="OFF-ST-10001414"/>
    <x v="0"/>
    <x v="3"/>
    <x v="518"/>
    <n v="46"/>
    <n v="3"/>
    <x v="1"/>
    <n v="12.0276"/>
    <n v="5.17"/>
    <s v="Low"/>
    <n v="2014"/>
  </r>
  <r>
    <s v="ES-2012-3596491"/>
    <x v="346"/>
    <x v="417"/>
    <s v="First Class"/>
    <x v="404"/>
    <x v="0"/>
    <s v="Alsace"/>
    <s v="France"/>
    <s v="EU"/>
    <x v="2"/>
    <s v="OFF-BI-10003708"/>
    <x v="0"/>
    <x v="0"/>
    <x v="519"/>
    <n v="184"/>
    <n v="13"/>
    <x v="1"/>
    <n v="38.61"/>
    <n v="13.74"/>
    <s v="Medium"/>
    <n v="2012"/>
  </r>
  <r>
    <s v="MX-2013-123463"/>
    <x v="343"/>
    <x v="418"/>
    <s v="Standard Class"/>
    <x v="405"/>
    <x v="1"/>
    <s v="Santander"/>
    <s v="Colombia"/>
    <s v="LATAM"/>
    <x v="1"/>
    <s v="OFF-PA-10004190"/>
    <x v="0"/>
    <x v="7"/>
    <x v="520"/>
    <n v="74"/>
    <n v="4"/>
    <x v="1"/>
    <n v="33.28"/>
    <n v="11.58"/>
    <s v="Low"/>
    <n v="2013"/>
  </r>
  <r>
    <s v="KZ-2014-6760"/>
    <x v="356"/>
    <x v="419"/>
    <s v="Standard Class"/>
    <x v="406"/>
    <x v="2"/>
    <s v="Astana"/>
    <s v="Kazakhstan"/>
    <s v="EMEA"/>
    <x v="4"/>
    <s v="OFF-BOS-10003699"/>
    <x v="0"/>
    <x v="5"/>
    <x v="521"/>
    <n v="60"/>
    <n v="4"/>
    <x v="7"/>
    <n v="-139.608"/>
    <n v="4.8"/>
    <s v="Medium"/>
    <n v="2014"/>
  </r>
  <r>
    <s v="CA-2011-117765"/>
    <x v="380"/>
    <x v="420"/>
    <s v="Standard Class"/>
    <x v="196"/>
    <x v="1"/>
    <s v="Oklahoma"/>
    <s v="United States"/>
    <s v="US"/>
    <x v="2"/>
    <s v="OFF-BI-10000474"/>
    <x v="0"/>
    <x v="0"/>
    <x v="522"/>
    <n v="32"/>
    <n v="2"/>
    <x v="1"/>
    <n v="15.3888"/>
    <n v="3.07"/>
    <s v="Medium"/>
    <n v="2011"/>
  </r>
  <r>
    <s v="MX-2012-114251"/>
    <x v="381"/>
    <x v="169"/>
    <s v="Second Class"/>
    <x v="359"/>
    <x v="2"/>
    <s v="Distrito Federal"/>
    <s v="Mexico"/>
    <s v="LATAM"/>
    <x v="6"/>
    <s v="OFF-ST-10004754"/>
    <x v="0"/>
    <x v="3"/>
    <x v="20"/>
    <n v="553"/>
    <n v="4"/>
    <x v="1"/>
    <n v="132.63999999999999"/>
    <n v="70.44"/>
    <s v="High"/>
    <n v="2012"/>
  </r>
  <r>
    <s v="ES-2014-5117456"/>
    <x v="360"/>
    <x v="376"/>
    <s v="Second Class"/>
    <x v="407"/>
    <x v="1"/>
    <s v="Vienna"/>
    <s v="Austria"/>
    <s v="EU"/>
    <x v="2"/>
    <s v="FUR-FU-10001424"/>
    <x v="1"/>
    <x v="2"/>
    <x v="523"/>
    <n v="165"/>
    <n v="3"/>
    <x v="1"/>
    <n v="46.26"/>
    <n v="19.02"/>
    <s v="Medium"/>
    <n v="2014"/>
  </r>
  <r>
    <s v="ES-2012-5954014"/>
    <x v="382"/>
    <x v="421"/>
    <s v="Standard Class"/>
    <x v="408"/>
    <x v="2"/>
    <s v="Ile-de-France"/>
    <s v="France"/>
    <s v="EU"/>
    <x v="2"/>
    <s v="FUR-FU-10002919"/>
    <x v="1"/>
    <x v="2"/>
    <x v="524"/>
    <n v="651"/>
    <n v="6"/>
    <x v="1"/>
    <n v="240.84"/>
    <n v="96.05"/>
    <s v="High"/>
    <n v="2012"/>
  </r>
  <r>
    <s v="ES-2013-1521931"/>
    <x v="330"/>
    <x v="176"/>
    <s v="Second Class"/>
    <x v="263"/>
    <x v="1"/>
    <s v="Provence-Alpes-CÃ´te d'Azur"/>
    <s v="France"/>
    <s v="EU"/>
    <x v="2"/>
    <s v="TEC-AC-10002122"/>
    <x v="2"/>
    <x v="11"/>
    <x v="307"/>
    <n v="163"/>
    <n v="2"/>
    <x v="1"/>
    <n v="9.7799999999999994"/>
    <n v="15.21"/>
    <s v="Medium"/>
    <n v="2013"/>
  </r>
  <r>
    <s v="TU-2014-950"/>
    <x v="383"/>
    <x v="422"/>
    <s v="Standard Class"/>
    <x v="320"/>
    <x v="2"/>
    <s v="Ankara"/>
    <s v="Turkey"/>
    <s v="EMEA"/>
    <x v="4"/>
    <s v="OFF-ENE-10002104"/>
    <x v="0"/>
    <x v="7"/>
    <x v="525"/>
    <n v="24"/>
    <n v="2"/>
    <x v="3"/>
    <n v="-23.352"/>
    <n v="3.38"/>
    <s v="High"/>
    <n v="2014"/>
  </r>
  <r>
    <s v="CA-2012-8480"/>
    <x v="384"/>
    <x v="423"/>
    <s v="Second Class"/>
    <x v="324"/>
    <x v="2"/>
    <s v="British Columbia"/>
    <s v="Canada"/>
    <s v="Canada"/>
    <x v="10"/>
    <s v="FUR-HON-10003533"/>
    <x v="1"/>
    <x v="8"/>
    <x v="526"/>
    <n v="460"/>
    <n v="1"/>
    <x v="1"/>
    <n v="124.08"/>
    <n v="41.51"/>
    <s v="Medium"/>
    <n v="2012"/>
  </r>
  <r>
    <s v="TU-2013-1120"/>
    <x v="385"/>
    <x v="424"/>
    <s v="Standard Class"/>
    <x v="103"/>
    <x v="1"/>
    <s v="Ankara"/>
    <s v="Turkey"/>
    <s v="EMEA"/>
    <x v="4"/>
    <s v="OFF-STA-10004108"/>
    <x v="0"/>
    <x v="5"/>
    <x v="527"/>
    <n v="20"/>
    <n v="1"/>
    <x v="3"/>
    <n v="-17.934000000000001"/>
    <n v="2.86"/>
    <s v="High"/>
    <n v="2013"/>
  </r>
  <r>
    <s v="ES-2014-2638373"/>
    <x v="386"/>
    <x v="425"/>
    <s v="Standard Class"/>
    <x v="409"/>
    <x v="2"/>
    <s v="AndalusÃ­a"/>
    <s v="Spain"/>
    <s v="EU"/>
    <x v="1"/>
    <s v="TEC-CO-10001191"/>
    <x v="2"/>
    <x v="14"/>
    <x v="528"/>
    <n v="2125"/>
    <n v="6"/>
    <x v="1"/>
    <n v="233.64"/>
    <n v="104.46"/>
    <s v="Low"/>
    <n v="2014"/>
  </r>
  <r>
    <s v="MX-2014-137204"/>
    <x v="387"/>
    <x v="426"/>
    <s v="Standard Class"/>
    <x v="410"/>
    <x v="0"/>
    <s v="Saint Catherine"/>
    <s v="Jamaica"/>
    <s v="LATAM"/>
    <x v="11"/>
    <s v="TEC-PH-10003215"/>
    <x v="2"/>
    <x v="9"/>
    <x v="529"/>
    <n v="248"/>
    <n v="5"/>
    <x v="1"/>
    <n v="124.1"/>
    <n v="23.53"/>
    <s v="Medium"/>
    <n v="2014"/>
  </r>
  <r>
    <s v="IN-2013-74329"/>
    <x v="388"/>
    <x v="427"/>
    <s v="Standard Class"/>
    <x v="279"/>
    <x v="1"/>
    <s v="Western Australia"/>
    <s v="Australia"/>
    <s v="APAC"/>
    <x v="9"/>
    <s v="OFF-BI-10002386"/>
    <x v="0"/>
    <x v="0"/>
    <x v="191"/>
    <n v="23"/>
    <n v="3"/>
    <x v="2"/>
    <n v="0.48599999999999999"/>
    <n v="2.4500000000000002"/>
    <s v="Medium"/>
    <n v="2013"/>
  </r>
  <r>
    <s v="IN-2011-42759"/>
    <x v="389"/>
    <x v="428"/>
    <s v="Same Day"/>
    <x v="167"/>
    <x v="0"/>
    <s v="Queensland"/>
    <s v="Australia"/>
    <s v="APAC"/>
    <x v="9"/>
    <s v="TEC-PH-10001428"/>
    <x v="2"/>
    <x v="9"/>
    <x v="301"/>
    <n v="359"/>
    <n v="5"/>
    <x v="2"/>
    <n v="11.835000000000001"/>
    <n v="113.45"/>
    <s v="High"/>
    <n v="2011"/>
  </r>
  <r>
    <s v="MX-2014-131765"/>
    <x v="390"/>
    <x v="429"/>
    <s v="Second Class"/>
    <x v="411"/>
    <x v="2"/>
    <s v="Antioquia"/>
    <s v="Colombia"/>
    <s v="LATAM"/>
    <x v="1"/>
    <s v="TEC-AC-10002015"/>
    <x v="2"/>
    <x v="11"/>
    <x v="530"/>
    <n v="1161"/>
    <n v="7"/>
    <x v="1"/>
    <n v="452.76"/>
    <n v="162.57"/>
    <s v="High"/>
    <n v="2014"/>
  </r>
  <r>
    <s v="UG-2013-9250"/>
    <x v="391"/>
    <x v="427"/>
    <s v="Second Class"/>
    <x v="412"/>
    <x v="2"/>
    <s v="Kabarole"/>
    <s v="Uganda"/>
    <s v="Africa"/>
    <x v="5"/>
    <s v="OFF-CAM-10001761"/>
    <x v="0"/>
    <x v="16"/>
    <x v="531"/>
    <n v="4"/>
    <n v="1"/>
    <x v="7"/>
    <n v="-5.4870000000000001"/>
    <n v="0.36"/>
    <s v="Medium"/>
    <n v="2013"/>
  </r>
  <r>
    <s v="IN-2014-67238"/>
    <x v="387"/>
    <x v="430"/>
    <s v="Standard Class"/>
    <x v="413"/>
    <x v="2"/>
    <s v="Shaanxi"/>
    <s v="China"/>
    <s v="APAC"/>
    <x v="8"/>
    <s v="FUR-CH-10002117"/>
    <x v="1"/>
    <x v="8"/>
    <x v="532"/>
    <n v="326"/>
    <n v="4"/>
    <x v="1"/>
    <n v="123.72"/>
    <n v="17.28"/>
    <s v="Medium"/>
    <n v="2014"/>
  </r>
  <r>
    <s v="TU-2012-1970"/>
    <x v="392"/>
    <x v="431"/>
    <s v="Second Class"/>
    <x v="329"/>
    <x v="0"/>
    <s v="Ankara"/>
    <s v="Turkey"/>
    <s v="EMEA"/>
    <x v="4"/>
    <s v="OFF-BIC-10002403"/>
    <x v="0"/>
    <x v="5"/>
    <x v="533"/>
    <n v="20"/>
    <n v="1"/>
    <x v="3"/>
    <n v="-4.9080000000000004"/>
    <n v="4.87"/>
    <s v="Critical"/>
    <n v="2012"/>
  </r>
  <r>
    <s v="MX-2014-112760"/>
    <x v="393"/>
    <x v="228"/>
    <s v="First Class"/>
    <x v="62"/>
    <x v="2"/>
    <s v="Cienfuegos"/>
    <s v="Cuba"/>
    <s v="LATAM"/>
    <x v="11"/>
    <s v="OFF-PA-10000362"/>
    <x v="0"/>
    <x v="7"/>
    <x v="48"/>
    <n v="9"/>
    <n v="1"/>
    <x v="1"/>
    <n v="1.76"/>
    <n v="2.63"/>
    <s v="Critical"/>
    <n v="2014"/>
  </r>
  <r>
    <s v="ID-2011-66475"/>
    <x v="394"/>
    <x v="121"/>
    <s v="Standard Class"/>
    <x v="414"/>
    <x v="0"/>
    <s v="Queensland"/>
    <s v="Australia"/>
    <s v="APAC"/>
    <x v="9"/>
    <s v="FUR-TA-10001494"/>
    <x v="1"/>
    <x v="12"/>
    <x v="534"/>
    <n v="2301"/>
    <n v="7"/>
    <x v="8"/>
    <n v="-953.44200000000001"/>
    <n v="283.36"/>
    <s v="Low"/>
    <n v="2011"/>
  </r>
  <r>
    <s v="CA-2014-129021"/>
    <x v="395"/>
    <x v="432"/>
    <s v="Second Class"/>
    <x v="415"/>
    <x v="2"/>
    <s v="Florida"/>
    <s v="United States"/>
    <s v="US"/>
    <x v="1"/>
    <s v="TEC-PH-10001459"/>
    <x v="2"/>
    <x v="9"/>
    <x v="535"/>
    <n v="4368"/>
    <n v="13"/>
    <x v="6"/>
    <n v="327.59219999999999"/>
    <n v="609.44000000000005"/>
    <s v="Medium"/>
    <n v="2014"/>
  </r>
  <r>
    <s v="ES-2014-5091205"/>
    <x v="396"/>
    <x v="430"/>
    <s v="Second Class"/>
    <x v="302"/>
    <x v="2"/>
    <s v="Madrid"/>
    <s v="Spain"/>
    <s v="EU"/>
    <x v="1"/>
    <s v="OFF-BI-10003705"/>
    <x v="0"/>
    <x v="0"/>
    <x v="536"/>
    <n v="345"/>
    <n v="7"/>
    <x v="1"/>
    <n v="37.799999999999997"/>
    <n v="20.93"/>
    <s v="Medium"/>
    <n v="2014"/>
  </r>
  <r>
    <s v="MX-2013-102694"/>
    <x v="397"/>
    <x v="433"/>
    <s v="Standard Class"/>
    <x v="416"/>
    <x v="2"/>
    <s v="Santo Domingo"/>
    <s v="Dominican Republic"/>
    <s v="LATAM"/>
    <x v="11"/>
    <s v="TEC-AC-10003159"/>
    <x v="2"/>
    <x v="11"/>
    <x v="537"/>
    <n v="274"/>
    <n v="2"/>
    <x v="6"/>
    <n v="6.8239999999999998"/>
    <n v="25.53"/>
    <s v="Medium"/>
    <n v="2013"/>
  </r>
  <r>
    <s v="ES-2013-4827951"/>
    <x v="398"/>
    <x v="434"/>
    <s v="Standard Class"/>
    <x v="417"/>
    <x v="2"/>
    <s v="North Rhine-Westphalia"/>
    <s v="Germany"/>
    <s v="EU"/>
    <x v="2"/>
    <s v="FUR-TA-10004634"/>
    <x v="1"/>
    <x v="12"/>
    <x v="538"/>
    <n v="657"/>
    <n v="3"/>
    <x v="14"/>
    <n v="-252.95849999999999"/>
    <n v="76.349999999999994"/>
    <s v="High"/>
    <n v="2013"/>
  </r>
  <r>
    <s v="IN-2011-12043"/>
    <x v="389"/>
    <x v="435"/>
    <s v="Standard Class"/>
    <x v="418"/>
    <x v="0"/>
    <s v="Fujian"/>
    <s v="China"/>
    <s v="APAC"/>
    <x v="8"/>
    <s v="OFF-EN-10000645"/>
    <x v="0"/>
    <x v="16"/>
    <x v="539"/>
    <n v="243"/>
    <n v="7"/>
    <x v="1"/>
    <n v="63"/>
    <n v="19.61"/>
    <s v="Medium"/>
    <n v="2011"/>
  </r>
  <r>
    <s v="ID-2011-76520"/>
    <x v="399"/>
    <x v="436"/>
    <s v="Standard Class"/>
    <x v="419"/>
    <x v="0"/>
    <s v="Victoria"/>
    <s v="Australia"/>
    <s v="APAC"/>
    <x v="9"/>
    <s v="OFF-FA-10002177"/>
    <x v="0"/>
    <x v="6"/>
    <x v="540"/>
    <n v="54"/>
    <n v="3"/>
    <x v="2"/>
    <n v="-1.1970000000000001"/>
    <n v="1.08"/>
    <s v="Medium"/>
    <n v="2011"/>
  </r>
  <r>
    <s v="ES-2012-5515506"/>
    <x v="400"/>
    <x v="437"/>
    <s v="Standard Class"/>
    <x v="296"/>
    <x v="0"/>
    <s v="England"/>
    <s v="United Kingdom"/>
    <s v="EU"/>
    <x v="6"/>
    <s v="OFF-BI-10000542"/>
    <x v="0"/>
    <x v="0"/>
    <x v="541"/>
    <n v="88"/>
    <n v="3"/>
    <x v="1"/>
    <n v="18.54"/>
    <n v="7.64"/>
    <s v="Medium"/>
    <n v="2012"/>
  </r>
  <r>
    <s v="PL-2012-7820"/>
    <x v="392"/>
    <x v="431"/>
    <s v="First Class"/>
    <x v="377"/>
    <x v="0"/>
    <s v="Silesia"/>
    <s v="Poland"/>
    <s v="EMEA"/>
    <x v="4"/>
    <s v="FUR-HON-10000224"/>
    <x v="1"/>
    <x v="12"/>
    <x v="542"/>
    <n v="1978"/>
    <n v="4"/>
    <x v="1"/>
    <n v="276.83999999999997"/>
    <n v="759.47"/>
    <s v="Critical"/>
    <n v="2012"/>
  </r>
  <r>
    <s v="US-2013-106313"/>
    <x v="398"/>
    <x v="434"/>
    <s v="Standard Class"/>
    <x v="420"/>
    <x v="0"/>
    <s v="Washington"/>
    <s v="United States"/>
    <s v="US"/>
    <x v="7"/>
    <s v="OFF-PA-10001870"/>
    <x v="0"/>
    <x v="7"/>
    <x v="543"/>
    <n v="19"/>
    <n v="3"/>
    <x v="1"/>
    <n v="9.3312000000000008"/>
    <n v="0.46"/>
    <s v="High"/>
    <n v="2013"/>
  </r>
  <r>
    <s v="NI-2014-1900"/>
    <x v="401"/>
    <x v="438"/>
    <s v="First Class"/>
    <x v="277"/>
    <x v="2"/>
    <s v="Lagos"/>
    <s v="Nigeria"/>
    <s v="Africa"/>
    <x v="5"/>
    <s v="FUR-DEF-10000065"/>
    <x v="1"/>
    <x v="2"/>
    <x v="544"/>
    <n v="64"/>
    <n v="2"/>
    <x v="7"/>
    <n v="-62.118000000000002"/>
    <n v="18.190000000000001"/>
    <s v="High"/>
    <n v="2014"/>
  </r>
  <r>
    <s v="IN-2014-85417"/>
    <x v="402"/>
    <x v="439"/>
    <s v="Standard Class"/>
    <x v="421"/>
    <x v="0"/>
    <s v="Wellington"/>
    <s v="New Zealand"/>
    <s v="APAC"/>
    <x v="9"/>
    <s v="OFF-ST-10004794"/>
    <x v="0"/>
    <x v="3"/>
    <x v="545"/>
    <n v="249"/>
    <n v="4"/>
    <x v="1"/>
    <n v="104.28"/>
    <n v="16.399999999999999"/>
    <s v="Medium"/>
    <n v="2014"/>
  </r>
  <r>
    <s v="NI-2013-6450"/>
    <x v="403"/>
    <x v="440"/>
    <s v="First Class"/>
    <x v="105"/>
    <x v="1"/>
    <s v="Benue"/>
    <s v="Nigeria"/>
    <s v="Africa"/>
    <x v="5"/>
    <s v="OFF-HAR-10003659"/>
    <x v="0"/>
    <x v="4"/>
    <x v="546"/>
    <n v="3"/>
    <n v="1"/>
    <x v="7"/>
    <n v="-6.06"/>
    <n v="0.28999999999999998"/>
    <s v="Medium"/>
    <n v="2013"/>
  </r>
  <r>
    <s v="CA-2012-164007"/>
    <x v="404"/>
    <x v="441"/>
    <s v="Standard Class"/>
    <x v="285"/>
    <x v="2"/>
    <s v="Illinois"/>
    <s v="United States"/>
    <s v="US"/>
    <x v="2"/>
    <s v="OFF-AP-10003849"/>
    <x v="0"/>
    <x v="1"/>
    <x v="547"/>
    <n v="143"/>
    <n v="2"/>
    <x v="15"/>
    <n v="-393.60199999999998"/>
    <n v="1.56"/>
    <s v="Medium"/>
    <n v="2012"/>
  </r>
  <r>
    <s v="US-2013-141544"/>
    <x v="405"/>
    <x v="442"/>
    <s v="First Class"/>
    <x v="415"/>
    <x v="2"/>
    <s v="Pennsylvania"/>
    <s v="United States"/>
    <s v="US"/>
    <x v="12"/>
    <s v="TEC-PH-10003645"/>
    <x v="2"/>
    <x v="9"/>
    <x v="548"/>
    <n v="291"/>
    <n v="3"/>
    <x v="5"/>
    <n v="-67.876199999999997"/>
    <n v="55.88"/>
    <s v="High"/>
    <n v="2013"/>
  </r>
  <r>
    <s v="US-2013-117793"/>
    <x v="406"/>
    <x v="443"/>
    <s v="Standard Class"/>
    <x v="141"/>
    <x v="1"/>
    <s v="Wisconsin"/>
    <s v="United States"/>
    <s v="US"/>
    <x v="2"/>
    <s v="OFF-LA-10003537"/>
    <x v="0"/>
    <x v="4"/>
    <x v="549"/>
    <n v="38"/>
    <n v="3"/>
    <x v="1"/>
    <n v="17.667300000000001"/>
    <n v="2.09"/>
    <s v="Medium"/>
    <n v="2013"/>
  </r>
  <r>
    <s v="TU-2011-750"/>
    <x v="407"/>
    <x v="444"/>
    <s v="Standard Class"/>
    <x v="391"/>
    <x v="2"/>
    <s v="Istanbul"/>
    <s v="Turkey"/>
    <s v="EMEA"/>
    <x v="4"/>
    <s v="FUR-RUB-10004285"/>
    <x v="1"/>
    <x v="2"/>
    <x v="550"/>
    <n v="20"/>
    <n v="1"/>
    <x v="3"/>
    <n v="-22.122"/>
    <n v="2.63"/>
    <s v="High"/>
    <n v="2011"/>
  </r>
  <r>
    <s v="CA-2013-123414"/>
    <x v="408"/>
    <x v="445"/>
    <s v="Standard Class"/>
    <x v="422"/>
    <x v="1"/>
    <s v="North Carolina"/>
    <s v="United States"/>
    <s v="US"/>
    <x v="1"/>
    <s v="OFF-LA-10004559"/>
    <x v="0"/>
    <x v="4"/>
    <x v="551"/>
    <n v="9"/>
    <n v="4"/>
    <x v="6"/>
    <n v="3.3408000000000002"/>
    <n v="0.24"/>
    <s v="Medium"/>
    <n v="2013"/>
  </r>
  <r>
    <s v="MX-2014-131765"/>
    <x v="390"/>
    <x v="429"/>
    <s v="Second Class"/>
    <x v="411"/>
    <x v="2"/>
    <s v="Antioquia"/>
    <s v="Colombia"/>
    <s v="LATAM"/>
    <x v="1"/>
    <s v="OFF-LA-10002199"/>
    <x v="0"/>
    <x v="4"/>
    <x v="416"/>
    <n v="11"/>
    <n v="2"/>
    <x v="1"/>
    <n v="3.72"/>
    <n v="1.1299999999999999"/>
    <s v="High"/>
    <n v="2014"/>
  </r>
  <r>
    <s v="IT-2014-4483445"/>
    <x v="409"/>
    <x v="446"/>
    <s v="Standard Class"/>
    <x v="423"/>
    <x v="0"/>
    <s v="Midi-PyrÃ©nÃ©es"/>
    <s v="France"/>
    <s v="EU"/>
    <x v="2"/>
    <s v="OFF-BI-10002128"/>
    <x v="0"/>
    <x v="0"/>
    <x v="552"/>
    <n v="22"/>
    <n v="3"/>
    <x v="4"/>
    <n v="-2.25"/>
    <n v="1.65"/>
    <s v="Medium"/>
    <n v="2014"/>
  </r>
  <r>
    <s v="ID-2014-55338"/>
    <x v="410"/>
    <x v="447"/>
    <s v="Standard Class"/>
    <x v="424"/>
    <x v="0"/>
    <s v="National Capital"/>
    <s v="Philippines"/>
    <s v="APAC"/>
    <x v="0"/>
    <s v="FUR-BO-10001934"/>
    <x v="1"/>
    <x v="13"/>
    <x v="49"/>
    <n v="946"/>
    <n v="4"/>
    <x v="14"/>
    <n v="-392.892"/>
    <n v="57.02"/>
    <s v="Medium"/>
    <n v="2014"/>
  </r>
  <r>
    <s v="MX-2013-157735"/>
    <x v="408"/>
    <x v="448"/>
    <s v="First Class"/>
    <x v="425"/>
    <x v="0"/>
    <s v="Matanzas"/>
    <s v="Cuba"/>
    <s v="LATAM"/>
    <x v="11"/>
    <s v="FUR-CH-10001455"/>
    <x v="1"/>
    <x v="8"/>
    <x v="553"/>
    <n v="118"/>
    <n v="1"/>
    <x v="1"/>
    <n v="24.7"/>
    <n v="51.36"/>
    <s v="Critical"/>
    <n v="2013"/>
  </r>
  <r>
    <s v="ES-2013-4147391"/>
    <x v="405"/>
    <x v="442"/>
    <s v="Second Class"/>
    <x v="382"/>
    <x v="2"/>
    <s v="Veneto"/>
    <s v="Italy"/>
    <s v="EU"/>
    <x v="1"/>
    <s v="TEC-CO-10000967"/>
    <x v="2"/>
    <x v="14"/>
    <x v="554"/>
    <n v="600"/>
    <n v="2"/>
    <x v="1"/>
    <n v="239.94"/>
    <n v="184.11"/>
    <s v="Critical"/>
    <n v="2013"/>
  </r>
  <r>
    <s v="CA-2012-164441"/>
    <x v="411"/>
    <x v="449"/>
    <s v="Standard Class"/>
    <x v="426"/>
    <x v="2"/>
    <s v="New York"/>
    <s v="United States"/>
    <s v="US"/>
    <x v="12"/>
    <s v="OFF-PA-10001667"/>
    <x v="0"/>
    <x v="7"/>
    <x v="555"/>
    <n v="18"/>
    <n v="3"/>
    <x v="1"/>
    <n v="8.0730000000000004"/>
    <n v="1.75"/>
    <s v="Medium"/>
    <n v="2012"/>
  </r>
  <r>
    <s v="IN-2012-83254"/>
    <x v="411"/>
    <x v="449"/>
    <s v="Standard Class"/>
    <x v="362"/>
    <x v="0"/>
    <s v="Waikato"/>
    <s v="New Zealand"/>
    <s v="APAC"/>
    <x v="9"/>
    <s v="OFF-SU-10004589"/>
    <x v="0"/>
    <x v="15"/>
    <x v="556"/>
    <n v="87"/>
    <n v="2"/>
    <x v="1"/>
    <n v="32.340000000000003"/>
    <n v="6.1"/>
    <s v="Medium"/>
    <n v="2012"/>
  </r>
  <r>
    <s v="EG-2013-2110"/>
    <x v="412"/>
    <x v="450"/>
    <s v="Standard Class"/>
    <x v="30"/>
    <x v="0"/>
    <s v="Al Gharbiyah"/>
    <s v="Egypt"/>
    <s v="Africa"/>
    <x v="5"/>
    <s v="FUR-HON-10003533"/>
    <x v="1"/>
    <x v="8"/>
    <x v="526"/>
    <n v="1839"/>
    <n v="4"/>
    <x v="1"/>
    <n v="496.32"/>
    <n v="121.59"/>
    <s v="High"/>
    <n v="2013"/>
  </r>
  <r>
    <s v="ID-2014-42388"/>
    <x v="413"/>
    <x v="451"/>
    <s v="Standard Class"/>
    <x v="223"/>
    <x v="2"/>
    <s v="New South Wales"/>
    <s v="Australia"/>
    <s v="APAC"/>
    <x v="9"/>
    <s v="OFF-AP-10002960"/>
    <x v="0"/>
    <x v="1"/>
    <x v="557"/>
    <n v="256"/>
    <n v="5"/>
    <x v="2"/>
    <n v="-17.22"/>
    <n v="26.93"/>
    <s v="High"/>
    <n v="2014"/>
  </r>
  <r>
    <s v="IN-2011-69443"/>
    <x v="414"/>
    <x v="452"/>
    <s v="Standard Class"/>
    <x v="233"/>
    <x v="0"/>
    <s v="Yangon"/>
    <s v="Myanmar (Burma)"/>
    <s v="APAC"/>
    <x v="0"/>
    <s v="OFF-BI-10000089"/>
    <x v="0"/>
    <x v="0"/>
    <x v="558"/>
    <n v="24"/>
    <n v="1"/>
    <x v="0"/>
    <n v="9.0704999999999991"/>
    <n v="1.97"/>
    <s v="Medium"/>
    <n v="2011"/>
  </r>
  <r>
    <s v="ES-2012-2396725"/>
    <x v="411"/>
    <x v="449"/>
    <s v="Standard Class"/>
    <x v="71"/>
    <x v="0"/>
    <s v="Baden-WÃ¼rttemberg"/>
    <s v="Germany"/>
    <s v="EU"/>
    <x v="2"/>
    <s v="TEC-AC-10000863"/>
    <x v="2"/>
    <x v="11"/>
    <x v="559"/>
    <n v="176"/>
    <n v="3"/>
    <x v="1"/>
    <n v="19.350000000000001"/>
    <n v="11.74"/>
    <s v="Medium"/>
    <n v="2012"/>
  </r>
  <r>
    <s v="TU-2014-3270"/>
    <x v="410"/>
    <x v="378"/>
    <s v="Standard Class"/>
    <x v="344"/>
    <x v="1"/>
    <s v="Batman"/>
    <s v="Turkey"/>
    <s v="EMEA"/>
    <x v="4"/>
    <s v="TEC-MEM-10001732"/>
    <x v="2"/>
    <x v="11"/>
    <x v="560"/>
    <n v="17"/>
    <n v="1"/>
    <x v="3"/>
    <n v="-11.622"/>
    <n v="1.64"/>
    <s v="Medium"/>
    <n v="2014"/>
  </r>
  <r>
    <s v="ES-2011-4801998"/>
    <x v="415"/>
    <x v="453"/>
    <s v="Second Class"/>
    <x v="331"/>
    <x v="2"/>
    <s v="Nord-Pas-de-Calais"/>
    <s v="France"/>
    <s v="EU"/>
    <x v="2"/>
    <s v="OFF-SU-10000877"/>
    <x v="0"/>
    <x v="15"/>
    <x v="561"/>
    <n v="189"/>
    <n v="7"/>
    <x v="1"/>
    <n v="45.36"/>
    <n v="3.09"/>
    <s v="Medium"/>
    <n v="2011"/>
  </r>
  <r>
    <s v="US-2011-115987"/>
    <x v="414"/>
    <x v="420"/>
    <s v="Second Class"/>
    <x v="427"/>
    <x v="2"/>
    <s v="Texas"/>
    <s v="United States"/>
    <s v="US"/>
    <x v="2"/>
    <s v="OFF-BI-10001071"/>
    <x v="0"/>
    <x v="0"/>
    <x v="562"/>
    <n v="51"/>
    <n v="4"/>
    <x v="15"/>
    <n v="-79.3352"/>
    <n v="6.74"/>
    <s v="Medium"/>
    <n v="2011"/>
  </r>
  <r>
    <s v="CA-2013-105585"/>
    <x v="412"/>
    <x v="445"/>
    <s v="First Class"/>
    <x v="428"/>
    <x v="2"/>
    <s v="California"/>
    <s v="United States"/>
    <s v="US"/>
    <x v="7"/>
    <s v="OFF-PA-10003625"/>
    <x v="0"/>
    <x v="7"/>
    <x v="563"/>
    <n v="155"/>
    <n v="5"/>
    <x v="1"/>
    <n v="69.704999999999998"/>
    <n v="7.43"/>
    <s v="High"/>
    <n v="2013"/>
  </r>
  <r>
    <s v="CA-2014-146920"/>
    <x v="416"/>
    <x v="454"/>
    <s v="Standard Class"/>
    <x v="96"/>
    <x v="2"/>
    <s v="Illinois"/>
    <s v="United States"/>
    <s v="US"/>
    <x v="2"/>
    <s v="OFF-PA-10002479"/>
    <x v="0"/>
    <x v="7"/>
    <x v="564"/>
    <n v="25"/>
    <n v="6"/>
    <x v="6"/>
    <n v="7.92"/>
    <n v="4.51"/>
    <s v="High"/>
    <n v="2014"/>
  </r>
  <r>
    <s v="NI-2011-9240"/>
    <x v="417"/>
    <x v="444"/>
    <s v="Standard Class"/>
    <x v="429"/>
    <x v="2"/>
    <s v="Lagos"/>
    <s v="Nigeria"/>
    <s v="Africa"/>
    <x v="5"/>
    <s v="FUR-BUS-10001876"/>
    <x v="1"/>
    <x v="13"/>
    <x v="565"/>
    <n v="43"/>
    <n v="1"/>
    <x v="7"/>
    <n v="-89.754000000000005"/>
    <n v="2.35"/>
    <s v="Medium"/>
    <n v="2011"/>
  </r>
  <r>
    <s v="ES-2011-5335590"/>
    <x v="418"/>
    <x v="435"/>
    <s v="Standard Class"/>
    <x v="359"/>
    <x v="2"/>
    <s v="Picardy"/>
    <s v="France"/>
    <s v="EU"/>
    <x v="2"/>
    <s v="OFF-ST-10001025"/>
    <x v="0"/>
    <x v="3"/>
    <x v="566"/>
    <n v="195"/>
    <n v="4"/>
    <x v="2"/>
    <n v="60.744"/>
    <n v="26.1"/>
    <s v="Low"/>
    <n v="2011"/>
  </r>
  <r>
    <s v="GG-2011-3530"/>
    <x v="419"/>
    <x v="455"/>
    <s v="Standard Class"/>
    <x v="371"/>
    <x v="2"/>
    <s v="Tbilisi"/>
    <s v="Georgia"/>
    <s v="EMEA"/>
    <x v="4"/>
    <s v="FUR-RUB-10002507"/>
    <x v="1"/>
    <x v="2"/>
    <x v="567"/>
    <n v="101"/>
    <n v="4"/>
    <x v="1"/>
    <n v="31.2"/>
    <n v="8.43"/>
    <s v="Medium"/>
    <n v="2011"/>
  </r>
  <r>
    <s v="CA-2013-147585"/>
    <x v="420"/>
    <x v="384"/>
    <s v="Standard Class"/>
    <x v="99"/>
    <x v="0"/>
    <s v="California"/>
    <s v="United States"/>
    <s v="US"/>
    <x v="7"/>
    <s v="FUR-FU-10002597"/>
    <x v="1"/>
    <x v="2"/>
    <x v="568"/>
    <n v="15"/>
    <n v="3"/>
    <x v="1"/>
    <n v="6.2244000000000002"/>
    <n v="1.04"/>
    <s v="Medium"/>
    <n v="2013"/>
  </r>
  <r>
    <s v="US-2011-122385"/>
    <x v="421"/>
    <x v="456"/>
    <s v="Standard Class"/>
    <x v="430"/>
    <x v="2"/>
    <s v="Santo Domingo"/>
    <s v="Dominican Republic"/>
    <s v="LATAM"/>
    <x v="11"/>
    <s v="OFF-AR-10003096"/>
    <x v="0"/>
    <x v="5"/>
    <x v="472"/>
    <n v="148"/>
    <n v="6"/>
    <x v="6"/>
    <n v="12.864000000000001"/>
    <n v="15.36"/>
    <s v="Medium"/>
    <n v="2011"/>
  </r>
  <r>
    <s v="US-2011-115413"/>
    <x v="415"/>
    <x v="457"/>
    <s v="Standard Class"/>
    <x v="274"/>
    <x v="1"/>
    <s v="Delaware"/>
    <s v="United States"/>
    <s v="US"/>
    <x v="12"/>
    <s v="TEC-AC-10002800"/>
    <x v="2"/>
    <x v="11"/>
    <x v="569"/>
    <n v="150"/>
    <n v="3"/>
    <x v="1"/>
    <n v="52.4895"/>
    <n v="11.05"/>
    <s v="Medium"/>
    <n v="2011"/>
  </r>
  <r>
    <s v="ES-2012-2740636"/>
    <x v="422"/>
    <x v="458"/>
    <s v="Standard Class"/>
    <x v="431"/>
    <x v="2"/>
    <s v="Antwerp"/>
    <s v="Belgium"/>
    <s v="EU"/>
    <x v="2"/>
    <s v="FUR-BO-10001256"/>
    <x v="1"/>
    <x v="13"/>
    <x v="570"/>
    <n v="373"/>
    <n v="3"/>
    <x v="1"/>
    <n v="29.79"/>
    <n v="23.98"/>
    <s v="Medium"/>
    <n v="2012"/>
  </r>
  <r>
    <s v="ES-2011-2972550"/>
    <x v="407"/>
    <x v="453"/>
    <s v="Standard Class"/>
    <x v="81"/>
    <x v="1"/>
    <s v="Calabria"/>
    <s v="Italy"/>
    <s v="EU"/>
    <x v="1"/>
    <s v="OFF-BI-10004233"/>
    <x v="0"/>
    <x v="0"/>
    <x v="168"/>
    <n v="31"/>
    <n v="4"/>
    <x v="1"/>
    <n v="12.84"/>
    <n v="1.46"/>
    <s v="Medium"/>
    <n v="2011"/>
  </r>
  <r>
    <s v="IN-2014-24951"/>
    <x v="416"/>
    <x v="142"/>
    <s v="Standard Class"/>
    <x v="296"/>
    <x v="0"/>
    <s v="Liaoning"/>
    <s v="China"/>
    <s v="APAC"/>
    <x v="8"/>
    <s v="OFF-PA-10000116"/>
    <x v="0"/>
    <x v="7"/>
    <x v="48"/>
    <n v="66"/>
    <n v="5"/>
    <x v="1"/>
    <n v="13.8"/>
    <n v="6.14"/>
    <s v="Medium"/>
    <n v="2014"/>
  </r>
  <r>
    <s v="ES-2014-4554406"/>
    <x v="387"/>
    <x v="459"/>
    <s v="Standard Class"/>
    <x v="92"/>
    <x v="2"/>
    <s v="Bavaria"/>
    <s v="Germany"/>
    <s v="EU"/>
    <x v="2"/>
    <s v="OFF-AR-10003651"/>
    <x v="0"/>
    <x v="5"/>
    <x v="97"/>
    <n v="244"/>
    <n v="9"/>
    <x v="1"/>
    <n v="121.77"/>
    <n v="11.83"/>
    <s v="Medium"/>
    <n v="2014"/>
  </r>
  <r>
    <s v="IT-2012-2825037"/>
    <x v="423"/>
    <x v="460"/>
    <s v="Standard Class"/>
    <x v="432"/>
    <x v="1"/>
    <s v="Saxony"/>
    <s v="Germany"/>
    <s v="EU"/>
    <x v="2"/>
    <s v="OFF-LA-10004753"/>
    <x v="0"/>
    <x v="4"/>
    <x v="571"/>
    <n v="6"/>
    <n v="1"/>
    <x v="1"/>
    <n v="2.94"/>
    <n v="0.52"/>
    <s v="Medium"/>
    <n v="2012"/>
  </r>
  <r>
    <s v="US-2014-149048"/>
    <x v="424"/>
    <x v="461"/>
    <s v="Standard Class"/>
    <x v="70"/>
    <x v="0"/>
    <s v="Francisco MorazÃ¡n"/>
    <s v="Honduras"/>
    <s v="LATAM"/>
    <x v="2"/>
    <s v="FUR-CH-10002374"/>
    <x v="1"/>
    <x v="8"/>
    <x v="572"/>
    <n v="113"/>
    <n v="6"/>
    <x v="5"/>
    <n v="-50.856000000000002"/>
    <n v="9.35"/>
    <s v="Medium"/>
    <n v="2014"/>
  </r>
  <r>
    <s v="US-2011-103933"/>
    <x v="425"/>
    <x v="462"/>
    <s v="Second Class"/>
    <x v="433"/>
    <x v="2"/>
    <s v="Zulia"/>
    <s v="Venezuela"/>
    <s v="LATAM"/>
    <x v="1"/>
    <s v="OFF-LA-10000190"/>
    <x v="0"/>
    <x v="4"/>
    <x v="350"/>
    <n v="17"/>
    <n v="6"/>
    <x v="5"/>
    <n v="-3.504"/>
    <n v="1.76"/>
    <s v="Medium"/>
    <n v="2011"/>
  </r>
  <r>
    <s v="CA-2011-124737"/>
    <x v="426"/>
    <x v="436"/>
    <s v="Standard Class"/>
    <x v="434"/>
    <x v="2"/>
    <s v="Colorado"/>
    <s v="United States"/>
    <s v="US"/>
    <x v="7"/>
    <s v="FUR-FU-10003274"/>
    <x v="1"/>
    <x v="2"/>
    <x v="573"/>
    <n v="4"/>
    <n v="3"/>
    <x v="6"/>
    <n v="1.2672000000000001"/>
    <n v="0.33"/>
    <s v="Medium"/>
    <n v="2011"/>
  </r>
  <r>
    <s v="ID-2014-77710"/>
    <x v="386"/>
    <x v="429"/>
    <s v="Second Class"/>
    <x v="435"/>
    <x v="0"/>
    <s v="Jawa Barat"/>
    <s v="Indonesia"/>
    <s v="APAC"/>
    <x v="0"/>
    <s v="FUR-CH-10002412"/>
    <x v="1"/>
    <x v="8"/>
    <x v="117"/>
    <n v="125"/>
    <n v="4"/>
    <x v="17"/>
    <n v="-44.457599999999999"/>
    <n v="18.29"/>
    <s v="High"/>
    <n v="2014"/>
  </r>
  <r>
    <s v="ES-2013-4777583"/>
    <x v="427"/>
    <x v="463"/>
    <s v="Standard Class"/>
    <x v="381"/>
    <x v="0"/>
    <s v="England"/>
    <s v="United Kingdom"/>
    <s v="EU"/>
    <x v="6"/>
    <s v="FUR-BO-10003697"/>
    <x v="1"/>
    <x v="13"/>
    <x v="574"/>
    <n v="797"/>
    <n v="4"/>
    <x v="1"/>
    <n v="95.64"/>
    <n v="68.05"/>
    <s v="Low"/>
    <n v="2013"/>
  </r>
  <r>
    <s v="US-2014-101651"/>
    <x v="402"/>
    <x v="464"/>
    <s v="Same Day"/>
    <x v="436"/>
    <x v="0"/>
    <s v="Santa Fe"/>
    <s v="Argentina"/>
    <s v="LATAM"/>
    <x v="1"/>
    <s v="FUR-BO-10001781"/>
    <x v="1"/>
    <x v="13"/>
    <x v="575"/>
    <n v="1312"/>
    <n v="9"/>
    <x v="5"/>
    <n v="-306.108"/>
    <n v="76.650000000000006"/>
    <s v="Medium"/>
    <n v="2014"/>
  </r>
  <r>
    <s v="IN-2013-55135"/>
    <x v="428"/>
    <x v="465"/>
    <s v="Standard Class"/>
    <x v="307"/>
    <x v="2"/>
    <s v="Aichi"/>
    <s v="Japan"/>
    <s v="APAC"/>
    <x v="8"/>
    <s v="OFF-EN-10000645"/>
    <x v="0"/>
    <x v="16"/>
    <x v="539"/>
    <n v="173"/>
    <n v="5"/>
    <x v="1"/>
    <n v="45"/>
    <n v="19.989999999999998"/>
    <s v="Medium"/>
    <n v="2013"/>
  </r>
  <r>
    <s v="ID-2013-19960"/>
    <x v="429"/>
    <x v="466"/>
    <s v="Second Class"/>
    <x v="437"/>
    <x v="2"/>
    <s v="National Capital"/>
    <s v="Philippines"/>
    <s v="APAC"/>
    <x v="0"/>
    <s v="TEC-CO-10003354"/>
    <x v="2"/>
    <x v="14"/>
    <x v="576"/>
    <n v="414"/>
    <n v="2"/>
    <x v="14"/>
    <n v="-31.878"/>
    <n v="44.22"/>
    <s v="High"/>
    <n v="2013"/>
  </r>
  <r>
    <s v="MX-2014-159779"/>
    <x v="390"/>
    <x v="425"/>
    <s v="Standard Class"/>
    <x v="214"/>
    <x v="1"/>
    <s v="Ciego de Ãvila"/>
    <s v="Cuba"/>
    <s v="LATAM"/>
    <x v="11"/>
    <s v="OFF-SU-10001722"/>
    <x v="0"/>
    <x v="15"/>
    <x v="577"/>
    <n v="50"/>
    <n v="2"/>
    <x v="1"/>
    <n v="23.04"/>
    <n v="5.29"/>
    <s v="Medium"/>
    <n v="2014"/>
  </r>
  <r>
    <s v="ID-2014-85851"/>
    <x v="410"/>
    <x v="447"/>
    <s v="Standard Class"/>
    <x v="438"/>
    <x v="2"/>
    <s v="Auckland"/>
    <s v="New Zealand"/>
    <s v="APAC"/>
    <x v="9"/>
    <s v="OFF-AP-10004499"/>
    <x v="0"/>
    <x v="1"/>
    <x v="578"/>
    <n v="323"/>
    <n v="1"/>
    <x v="5"/>
    <n v="-6.0000000000000001E-3"/>
    <n v="20.13"/>
    <s v="Low"/>
    <n v="2014"/>
  </r>
  <r>
    <s v="TU-2012-60"/>
    <x v="422"/>
    <x v="467"/>
    <s v="First Class"/>
    <x v="439"/>
    <x v="2"/>
    <s v="Amasya"/>
    <s v="Turkey"/>
    <s v="EMEA"/>
    <x v="4"/>
    <s v="OFF-KRA-10002789"/>
    <x v="0"/>
    <x v="16"/>
    <x v="579"/>
    <n v="38"/>
    <n v="4"/>
    <x v="3"/>
    <n v="-31.751999999999999"/>
    <n v="2"/>
    <s v="High"/>
    <n v="2012"/>
  </r>
  <r>
    <s v="CA-2013-155670"/>
    <x v="430"/>
    <x v="465"/>
    <s v="Second Class"/>
    <x v="309"/>
    <x v="2"/>
    <s v="North Carolina"/>
    <s v="United States"/>
    <s v="US"/>
    <x v="1"/>
    <s v="OFF-PA-10004947"/>
    <x v="0"/>
    <x v="7"/>
    <x v="109"/>
    <n v="10"/>
    <n v="3"/>
    <x v="6"/>
    <n v="3.21"/>
    <n v="1.45"/>
    <s v="Medium"/>
    <n v="2013"/>
  </r>
  <r>
    <s v="CA-2012-107902"/>
    <x v="431"/>
    <x v="468"/>
    <s v="Standard Class"/>
    <x v="17"/>
    <x v="0"/>
    <s v="Connecticut"/>
    <s v="United States"/>
    <s v="US"/>
    <x v="12"/>
    <s v="OFF-ST-10001837"/>
    <x v="0"/>
    <x v="3"/>
    <x v="580"/>
    <n v="470"/>
    <n v="11"/>
    <x v="1"/>
    <n v="122.2936"/>
    <n v="30.72"/>
    <s v="Medium"/>
    <n v="2012"/>
  </r>
  <r>
    <s v="MX-2014-104486"/>
    <x v="432"/>
    <x v="361"/>
    <s v="Standard Class"/>
    <x v="102"/>
    <x v="2"/>
    <s v="Santo Domingo"/>
    <s v="Dominican Republic"/>
    <s v="LATAM"/>
    <x v="11"/>
    <s v="OFF-LA-10002401"/>
    <x v="0"/>
    <x v="4"/>
    <x v="581"/>
    <n v="13"/>
    <n v="2"/>
    <x v="6"/>
    <n v="4.4000000000000004"/>
    <n v="0.95"/>
    <s v="Medium"/>
    <n v="2014"/>
  </r>
  <r>
    <s v="RS-2011-6190"/>
    <x v="433"/>
    <x v="121"/>
    <s v="Standard Class"/>
    <x v="111"/>
    <x v="2"/>
    <s v="Dagestan"/>
    <s v="Russia"/>
    <s v="EMEA"/>
    <x v="4"/>
    <s v="OFF-SAN-10003687"/>
    <x v="0"/>
    <x v="5"/>
    <x v="582"/>
    <n v="183"/>
    <n v="4"/>
    <x v="1"/>
    <n v="84.12"/>
    <n v="6.57"/>
    <s v="Medium"/>
    <n v="2011"/>
  </r>
  <r>
    <s v="IN-2011-67028"/>
    <x v="419"/>
    <x v="469"/>
    <s v="Standard Class"/>
    <x v="440"/>
    <x v="0"/>
    <s v="National Capital"/>
    <s v="Philippines"/>
    <s v="APAC"/>
    <x v="0"/>
    <s v="TEC-PH-10000365"/>
    <x v="2"/>
    <x v="9"/>
    <x v="583"/>
    <n v="543"/>
    <n v="9"/>
    <x v="19"/>
    <n v="-7.4249999999999998"/>
    <n v="40.479999999999997"/>
    <s v="Medium"/>
    <n v="2011"/>
  </r>
  <r>
    <s v="ES-2014-3688258"/>
    <x v="387"/>
    <x v="470"/>
    <s v="Standard Class"/>
    <x v="383"/>
    <x v="2"/>
    <s v="Hovedstaden"/>
    <s v="Denmark"/>
    <s v="EU"/>
    <x v="6"/>
    <s v="TEC-AC-10003920"/>
    <x v="2"/>
    <x v="11"/>
    <x v="584"/>
    <n v="84"/>
    <n v="2"/>
    <x v="4"/>
    <n v="-41.94"/>
    <n v="3.39"/>
    <s v="Medium"/>
    <n v="2014"/>
  </r>
  <r>
    <s v="US-2014-103828"/>
    <x v="386"/>
    <x v="471"/>
    <s v="Same Day"/>
    <x v="144"/>
    <x v="2"/>
    <s v="California"/>
    <s v="United States"/>
    <s v="US"/>
    <x v="7"/>
    <s v="OFF-AP-10004249"/>
    <x v="0"/>
    <x v="1"/>
    <x v="109"/>
    <n v="84"/>
    <n v="7"/>
    <x v="1"/>
    <n v="22.6233"/>
    <n v="7.79"/>
    <s v="High"/>
    <n v="2014"/>
  </r>
  <r>
    <s v="IN-2011-71060"/>
    <x v="426"/>
    <x v="472"/>
    <s v="Standard Class"/>
    <x v="283"/>
    <x v="0"/>
    <s v="Western Australia"/>
    <s v="Australia"/>
    <s v="APAC"/>
    <x v="9"/>
    <s v="OFF-SU-10001535"/>
    <x v="0"/>
    <x v="15"/>
    <x v="585"/>
    <n v="63"/>
    <n v="2"/>
    <x v="2"/>
    <n v="4.1820000000000004"/>
    <n v="3.81"/>
    <s v="Medium"/>
    <n v="2011"/>
  </r>
  <r>
    <s v="CA-2011-163293"/>
    <x v="414"/>
    <x v="473"/>
    <s v="First Class"/>
    <x v="287"/>
    <x v="0"/>
    <s v="Georgia"/>
    <s v="United States"/>
    <s v="US"/>
    <x v="1"/>
    <s v="TEC-AC-10000023"/>
    <x v="2"/>
    <x v="11"/>
    <x v="586"/>
    <n v="84"/>
    <n v="4"/>
    <x v="1"/>
    <n v="30.1968"/>
    <n v="13.48"/>
    <s v="Medium"/>
    <n v="2011"/>
  </r>
  <r>
    <s v="ES-2013-3561047"/>
    <x v="434"/>
    <x v="474"/>
    <s v="Standard Class"/>
    <x v="441"/>
    <x v="1"/>
    <s v="Picardy"/>
    <s v="France"/>
    <s v="EU"/>
    <x v="2"/>
    <s v="OFF-AR-10003028"/>
    <x v="0"/>
    <x v="5"/>
    <x v="45"/>
    <n v="33"/>
    <n v="2"/>
    <x v="1"/>
    <n v="4.92"/>
    <n v="1.95"/>
    <s v="Medium"/>
    <n v="2013"/>
  </r>
  <r>
    <s v="ES-2012-5016521"/>
    <x v="422"/>
    <x v="475"/>
    <s v="Standard Class"/>
    <x v="102"/>
    <x v="2"/>
    <s v="Campania"/>
    <s v="Italy"/>
    <s v="EU"/>
    <x v="1"/>
    <s v="OFF-LA-10001299"/>
    <x v="0"/>
    <x v="4"/>
    <x v="587"/>
    <n v="14"/>
    <n v="2"/>
    <x v="1"/>
    <n v="5.04"/>
    <n v="0.74"/>
    <s v="Medium"/>
    <n v="2012"/>
  </r>
  <r>
    <s v="IT-2014-2448536"/>
    <x v="387"/>
    <x v="430"/>
    <s v="Standard Class"/>
    <x v="424"/>
    <x v="0"/>
    <s v="Overijssel"/>
    <s v="Netherlands"/>
    <s v="EU"/>
    <x v="2"/>
    <s v="OFF-BI-10000880"/>
    <x v="0"/>
    <x v="0"/>
    <x v="588"/>
    <n v="27"/>
    <n v="4"/>
    <x v="4"/>
    <n v="-6.48"/>
    <n v="1.97"/>
    <s v="Medium"/>
    <n v="2014"/>
  </r>
  <r>
    <s v="MX-2014-166254"/>
    <x v="435"/>
    <x v="476"/>
    <s v="Standard Class"/>
    <x v="442"/>
    <x v="0"/>
    <s v="Mayabeque"/>
    <s v="Cuba"/>
    <s v="LATAM"/>
    <x v="11"/>
    <s v="OFF-PA-10000752"/>
    <x v="0"/>
    <x v="7"/>
    <x v="114"/>
    <n v="123"/>
    <n v="7"/>
    <x v="1"/>
    <n v="50.4"/>
    <n v="20.02"/>
    <s v="High"/>
    <n v="2014"/>
  </r>
  <r>
    <s v="CA-2012-121188"/>
    <x v="431"/>
    <x v="50"/>
    <s v="Standard Class"/>
    <x v="443"/>
    <x v="2"/>
    <s v="California"/>
    <s v="United States"/>
    <s v="US"/>
    <x v="7"/>
    <s v="OFF-ST-10000736"/>
    <x v="0"/>
    <x v="3"/>
    <x v="589"/>
    <n v="729"/>
    <n v="9"/>
    <x v="1"/>
    <n v="29.152799999999999"/>
    <n v="48.16"/>
    <s v="Medium"/>
    <n v="2012"/>
  </r>
  <r>
    <s v="ES-2014-1113356"/>
    <x v="436"/>
    <x v="477"/>
    <s v="First Class"/>
    <x v="419"/>
    <x v="0"/>
    <s v="Ile-de-France"/>
    <s v="France"/>
    <s v="EU"/>
    <x v="2"/>
    <s v="FUR-CH-10002819"/>
    <x v="1"/>
    <x v="8"/>
    <x v="590"/>
    <n v="162"/>
    <n v="3"/>
    <x v="2"/>
    <n v="19.673999999999999"/>
    <n v="12.45"/>
    <s v="Medium"/>
    <n v="2014"/>
  </r>
  <r>
    <s v="ID-2012-74630"/>
    <x v="404"/>
    <x v="478"/>
    <s v="Second Class"/>
    <x v="248"/>
    <x v="2"/>
    <s v="Gyeongsangnam"/>
    <s v="South Korea"/>
    <s v="APAC"/>
    <x v="8"/>
    <s v="OFF-AR-10003774"/>
    <x v="0"/>
    <x v="5"/>
    <x v="591"/>
    <n v="114"/>
    <n v="5"/>
    <x v="4"/>
    <n v="-20.625"/>
    <n v="8.94"/>
    <s v="High"/>
    <n v="2012"/>
  </r>
  <r>
    <s v="MX-2013-157665"/>
    <x v="437"/>
    <x v="479"/>
    <s v="Standard Class"/>
    <x v="444"/>
    <x v="2"/>
    <s v="Distrito Federal"/>
    <s v="Mexico"/>
    <s v="LATAM"/>
    <x v="6"/>
    <s v="FUR-BO-10002975"/>
    <x v="1"/>
    <x v="13"/>
    <x v="592"/>
    <n v="323"/>
    <n v="5"/>
    <x v="6"/>
    <n v="16.100000000000001"/>
    <n v="12.45"/>
    <s v="Medium"/>
    <n v="2013"/>
  </r>
  <r>
    <s v="ES-2012-5642589"/>
    <x v="438"/>
    <x v="480"/>
    <s v="Standard Class"/>
    <x v="148"/>
    <x v="2"/>
    <s v="Lombardy"/>
    <s v="Italy"/>
    <s v="EU"/>
    <x v="1"/>
    <s v="OFF-BI-10003774"/>
    <x v="0"/>
    <x v="0"/>
    <x v="593"/>
    <n v="182"/>
    <n v="6"/>
    <x v="1"/>
    <n v="83.52"/>
    <n v="16.86"/>
    <s v="Medium"/>
    <n v="2012"/>
  </r>
  <r>
    <s v="ES-2011-1647523"/>
    <x v="439"/>
    <x v="481"/>
    <s v="First Class"/>
    <x v="445"/>
    <x v="2"/>
    <s v="Ile-de-France"/>
    <s v="France"/>
    <s v="EU"/>
    <x v="2"/>
    <s v="OFF-AP-10002128"/>
    <x v="0"/>
    <x v="1"/>
    <x v="594"/>
    <n v="172"/>
    <n v="2"/>
    <x v="2"/>
    <n v="47.597999999999999"/>
    <n v="53.53"/>
    <s v="Critical"/>
    <n v="2011"/>
  </r>
  <r>
    <s v="US-2013-123078"/>
    <x v="440"/>
    <x v="482"/>
    <s v="Standard Class"/>
    <x v="230"/>
    <x v="0"/>
    <s v="Francisco MorazÃ¡n"/>
    <s v="Honduras"/>
    <s v="LATAM"/>
    <x v="2"/>
    <s v="OFF-SU-10002599"/>
    <x v="0"/>
    <x v="15"/>
    <x v="595"/>
    <n v="23"/>
    <n v="2"/>
    <x v="5"/>
    <n v="-11.375999999999999"/>
    <n v="1.65"/>
    <s v="High"/>
    <n v="2013"/>
  </r>
  <r>
    <s v="MX-2013-132801"/>
    <x v="441"/>
    <x v="483"/>
    <s v="Standard Class"/>
    <x v="115"/>
    <x v="1"/>
    <s v="Puebla"/>
    <s v="Mexico"/>
    <s v="LATAM"/>
    <x v="6"/>
    <s v="OFF-BI-10000925"/>
    <x v="0"/>
    <x v="0"/>
    <x v="111"/>
    <n v="6"/>
    <n v="2"/>
    <x v="1"/>
    <n v="1.76"/>
    <n v="0.72"/>
    <s v="High"/>
    <n v="2013"/>
  </r>
  <r>
    <s v="IT-2014-4809306"/>
    <x v="442"/>
    <x v="484"/>
    <s v="Standard Class"/>
    <x v="330"/>
    <x v="2"/>
    <s v="Stockholm"/>
    <s v="Sweden"/>
    <s v="EU"/>
    <x v="6"/>
    <s v="FUR-CH-10001039"/>
    <x v="1"/>
    <x v="8"/>
    <x v="381"/>
    <n v="224"/>
    <n v="3"/>
    <x v="4"/>
    <n v="-80.819999999999993"/>
    <n v="26.03"/>
    <s v="Medium"/>
    <n v="2014"/>
  </r>
  <r>
    <s v="CA-2014-100111"/>
    <x v="443"/>
    <x v="485"/>
    <s v="Standard Class"/>
    <x v="324"/>
    <x v="2"/>
    <s v="New York"/>
    <s v="United States"/>
    <s v="US"/>
    <x v="12"/>
    <s v="OFF-PA-10000807"/>
    <x v="0"/>
    <x v="7"/>
    <x v="596"/>
    <n v="39"/>
    <n v="9"/>
    <x v="1"/>
    <n v="18.104399999999998"/>
    <n v="1.88"/>
    <s v="Medium"/>
    <n v="2014"/>
  </r>
  <r>
    <s v="IN-2014-62730"/>
    <x v="444"/>
    <x v="486"/>
    <s v="Standard Class"/>
    <x v="284"/>
    <x v="2"/>
    <s v="Bangkok"/>
    <s v="Thailand"/>
    <s v="APAC"/>
    <x v="0"/>
    <s v="OFF-BI-10004869"/>
    <x v="0"/>
    <x v="0"/>
    <x v="333"/>
    <n v="117"/>
    <n v="5"/>
    <x v="0"/>
    <n v="43.654499999999999"/>
    <n v="7.5"/>
    <s v="Medium"/>
    <n v="2014"/>
  </r>
  <r>
    <s v="IN-2014-83310"/>
    <x v="445"/>
    <x v="487"/>
    <s v="Second Class"/>
    <x v="446"/>
    <x v="0"/>
    <s v="Canterbury"/>
    <s v="New Zealand"/>
    <s v="APAC"/>
    <x v="9"/>
    <s v="OFF-EN-10003979"/>
    <x v="0"/>
    <x v="16"/>
    <x v="597"/>
    <n v="25"/>
    <n v="2"/>
    <x v="1"/>
    <n v="3.96"/>
    <n v="1.78"/>
    <s v="Medium"/>
    <n v="2014"/>
  </r>
  <r>
    <s v="MX-2012-144561"/>
    <x v="446"/>
    <x v="488"/>
    <s v="First Class"/>
    <x v="428"/>
    <x v="2"/>
    <s v="QuerÃ©taro"/>
    <s v="Mexico"/>
    <s v="LATAM"/>
    <x v="6"/>
    <s v="TEC-MA-10001622"/>
    <x v="2"/>
    <x v="10"/>
    <x v="598"/>
    <n v="577"/>
    <n v="5"/>
    <x v="1"/>
    <n v="57.6"/>
    <n v="95.92"/>
    <s v="High"/>
    <n v="2012"/>
  </r>
  <r>
    <s v="RO-2011-2950"/>
    <x v="447"/>
    <x v="489"/>
    <s v="Standard Class"/>
    <x v="447"/>
    <x v="2"/>
    <s v="Cluj"/>
    <s v="Romania"/>
    <s v="EMEA"/>
    <x v="4"/>
    <s v="OFF-SME-10002250"/>
    <x v="0"/>
    <x v="4"/>
    <x v="599"/>
    <n v="35"/>
    <n v="4"/>
    <x v="1"/>
    <n v="15.96"/>
    <n v="2.68"/>
    <s v="Medium"/>
    <n v="2011"/>
  </r>
  <r>
    <s v="IN-2011-75323"/>
    <x v="439"/>
    <x v="490"/>
    <s v="Standard Class"/>
    <x v="448"/>
    <x v="2"/>
    <s v="Western Australia"/>
    <s v="Australia"/>
    <s v="APAC"/>
    <x v="9"/>
    <s v="OFF-AP-10001567"/>
    <x v="0"/>
    <x v="1"/>
    <x v="600"/>
    <n v="737"/>
    <n v="9"/>
    <x v="2"/>
    <n v="261.81900000000002"/>
    <n v="36.549999999999997"/>
    <s v="Medium"/>
    <n v="2011"/>
  </r>
  <r>
    <s v="IN-2013-52230"/>
    <x v="448"/>
    <x v="491"/>
    <s v="Standard Class"/>
    <x v="161"/>
    <x v="2"/>
    <s v="Tamil Nadu"/>
    <s v="India"/>
    <s v="APAC"/>
    <x v="3"/>
    <s v="OFF-PA-10003020"/>
    <x v="0"/>
    <x v="7"/>
    <x v="57"/>
    <n v="41"/>
    <n v="2"/>
    <x v="1"/>
    <n v="5.7"/>
    <n v="2.79"/>
    <s v="Medium"/>
    <n v="2013"/>
  </r>
  <r>
    <s v="IN-2012-54491"/>
    <x v="449"/>
    <x v="259"/>
    <s v="Same Day"/>
    <x v="449"/>
    <x v="2"/>
    <s v="Guangdong"/>
    <s v="China"/>
    <s v="APAC"/>
    <x v="8"/>
    <s v="OFF-ST-10001638"/>
    <x v="0"/>
    <x v="3"/>
    <x v="448"/>
    <n v="269"/>
    <n v="2"/>
    <x v="1"/>
    <n v="78.06"/>
    <n v="63.94"/>
    <s v="Medium"/>
    <n v="2012"/>
  </r>
  <r>
    <s v="MX-2011-119746"/>
    <x v="450"/>
    <x v="492"/>
    <s v="Standard Class"/>
    <x v="389"/>
    <x v="2"/>
    <s v="San Salvador"/>
    <s v="El Salvador"/>
    <s v="LATAM"/>
    <x v="2"/>
    <s v="TEC-AC-10000890"/>
    <x v="2"/>
    <x v="11"/>
    <x v="601"/>
    <n v="345"/>
    <n v="2"/>
    <x v="1"/>
    <n v="117.36"/>
    <n v="25.61"/>
    <s v="Medium"/>
    <n v="2011"/>
  </r>
  <r>
    <s v="PL-2011-4090"/>
    <x v="450"/>
    <x v="492"/>
    <s v="Standard Class"/>
    <x v="153"/>
    <x v="2"/>
    <s v="Pomerania"/>
    <s v="Poland"/>
    <s v="EMEA"/>
    <x v="4"/>
    <s v="TEC-PAN-10000377"/>
    <x v="2"/>
    <x v="10"/>
    <x v="602"/>
    <n v="312"/>
    <n v="1"/>
    <x v="1"/>
    <n v="62.43"/>
    <n v="24.67"/>
    <s v="Medium"/>
    <n v="2011"/>
  </r>
  <r>
    <s v="US-2014-126032"/>
    <x v="445"/>
    <x v="493"/>
    <s v="Standard Class"/>
    <x v="392"/>
    <x v="0"/>
    <s v="CortÃ©s"/>
    <s v="Honduras"/>
    <s v="LATAM"/>
    <x v="2"/>
    <s v="OFF-SU-10003082"/>
    <x v="0"/>
    <x v="15"/>
    <x v="492"/>
    <n v="95"/>
    <n v="6"/>
    <x v="5"/>
    <n v="-26.832000000000001"/>
    <n v="6.11"/>
    <s v="Medium"/>
    <n v="2014"/>
  </r>
  <r>
    <s v="IN-2014-40400"/>
    <x v="451"/>
    <x v="410"/>
    <s v="First Class"/>
    <x v="370"/>
    <x v="1"/>
    <s v="Tamil Nadu"/>
    <s v="India"/>
    <s v="APAC"/>
    <x v="3"/>
    <s v="FUR-FU-10002829"/>
    <x v="1"/>
    <x v="2"/>
    <x v="603"/>
    <n v="252"/>
    <n v="5"/>
    <x v="1"/>
    <n v="17.55"/>
    <n v="30.56"/>
    <s v="High"/>
    <n v="2014"/>
  </r>
  <r>
    <s v="MX-2012-148054"/>
    <x v="452"/>
    <x v="494"/>
    <s v="Second Class"/>
    <x v="406"/>
    <x v="2"/>
    <s v="Santo Domingo"/>
    <s v="Dominican Republic"/>
    <s v="LATAM"/>
    <x v="11"/>
    <s v="FUR-BO-10002325"/>
    <x v="1"/>
    <x v="13"/>
    <x v="604"/>
    <n v="659"/>
    <n v="4"/>
    <x v="5"/>
    <n v="-219.85599999999999"/>
    <n v="111.23"/>
    <s v="High"/>
    <n v="2012"/>
  </r>
  <r>
    <s v="IN-2014-51033"/>
    <x v="453"/>
    <x v="495"/>
    <s v="Standard Class"/>
    <x v="450"/>
    <x v="0"/>
    <s v="National Capital"/>
    <s v="Philippines"/>
    <s v="APAC"/>
    <x v="0"/>
    <s v="TEC-MA-10000572"/>
    <x v="2"/>
    <x v="10"/>
    <x v="605"/>
    <n v="627"/>
    <n v="5"/>
    <x v="19"/>
    <n v="91.875"/>
    <n v="54.85"/>
    <s v="Medium"/>
    <n v="2014"/>
  </r>
  <r>
    <s v="ES-2013-1598291"/>
    <x v="454"/>
    <x v="496"/>
    <s v="Standard Class"/>
    <x v="451"/>
    <x v="2"/>
    <s v="Basque Country"/>
    <s v="Spain"/>
    <s v="EU"/>
    <x v="1"/>
    <s v="OFF-PA-10001736"/>
    <x v="0"/>
    <x v="7"/>
    <x v="606"/>
    <n v="89"/>
    <n v="3"/>
    <x v="1"/>
    <n v="23.13"/>
    <n v="7.77"/>
    <s v="High"/>
    <n v="2013"/>
  </r>
  <r>
    <s v="MX-2011-158204"/>
    <x v="455"/>
    <x v="497"/>
    <s v="Second Class"/>
    <x v="132"/>
    <x v="2"/>
    <s v="San Salvador"/>
    <s v="El Salvador"/>
    <s v="LATAM"/>
    <x v="2"/>
    <s v="OFF-BI-10001598"/>
    <x v="0"/>
    <x v="0"/>
    <x v="11"/>
    <n v="3"/>
    <n v="1"/>
    <x v="1"/>
    <n v="1.42"/>
    <n v="0.56000000000000005"/>
    <s v="High"/>
    <n v="2011"/>
  </r>
  <r>
    <s v="ES-2011-2130034"/>
    <x v="456"/>
    <x v="498"/>
    <s v="Standard Class"/>
    <x v="452"/>
    <x v="0"/>
    <s v="England"/>
    <s v="United Kingdom"/>
    <s v="EU"/>
    <x v="6"/>
    <s v="TEC-AC-10003327"/>
    <x v="2"/>
    <x v="11"/>
    <x v="607"/>
    <n v="211"/>
    <n v="3"/>
    <x v="1"/>
    <n v="18.899999999999999"/>
    <n v="4.67"/>
    <s v="Medium"/>
    <n v="2011"/>
  </r>
  <r>
    <s v="IN-2014-81154"/>
    <x v="445"/>
    <x v="499"/>
    <s v="Same Day"/>
    <x v="453"/>
    <x v="1"/>
    <s v="Canterbury"/>
    <s v="New Zealand"/>
    <s v="APAC"/>
    <x v="9"/>
    <s v="OFF-EN-10000975"/>
    <x v="0"/>
    <x v="16"/>
    <x v="608"/>
    <n v="148"/>
    <n v="6"/>
    <x v="1"/>
    <n v="20.7"/>
    <n v="33.619999999999997"/>
    <s v="Critical"/>
    <n v="2014"/>
  </r>
  <r>
    <s v="IT-2011-5015979"/>
    <x v="457"/>
    <x v="500"/>
    <s v="Standard Class"/>
    <x v="454"/>
    <x v="2"/>
    <s v="Tuscany"/>
    <s v="Italy"/>
    <s v="EU"/>
    <x v="1"/>
    <s v="OFF-ST-10000922"/>
    <x v="0"/>
    <x v="3"/>
    <x v="609"/>
    <n v="305"/>
    <n v="4"/>
    <x v="5"/>
    <n v="-193.05600000000001"/>
    <n v="30.49"/>
    <s v="Low"/>
    <n v="2011"/>
  </r>
  <r>
    <s v="ES-2011-2722980"/>
    <x v="458"/>
    <x v="501"/>
    <s v="Standard Class"/>
    <x v="455"/>
    <x v="1"/>
    <s v="Catalonia"/>
    <s v="Spain"/>
    <s v="EU"/>
    <x v="1"/>
    <s v="OFF-AR-10000110"/>
    <x v="0"/>
    <x v="5"/>
    <x v="472"/>
    <n v="93"/>
    <n v="2"/>
    <x v="1"/>
    <n v="24.06"/>
    <n v="5.54"/>
    <s v="Medium"/>
    <n v="2011"/>
  </r>
  <r>
    <s v="US-2012-103254"/>
    <x v="459"/>
    <x v="502"/>
    <s v="Standard Class"/>
    <x v="373"/>
    <x v="2"/>
    <s v="Espaillat"/>
    <s v="Dominican Republic"/>
    <s v="LATAM"/>
    <x v="11"/>
    <s v="OFF-BI-10004980"/>
    <x v="0"/>
    <x v="0"/>
    <x v="610"/>
    <n v="9"/>
    <n v="3"/>
    <x v="6"/>
    <n v="-0.6"/>
    <n v="0.77"/>
    <s v="High"/>
    <n v="2012"/>
  </r>
  <r>
    <s v="ES-2012-4430401"/>
    <x v="460"/>
    <x v="503"/>
    <s v="Standard Class"/>
    <x v="354"/>
    <x v="2"/>
    <s v="Scotland"/>
    <s v="United Kingdom"/>
    <s v="EU"/>
    <x v="6"/>
    <s v="OFF-LA-10002964"/>
    <x v="0"/>
    <x v="4"/>
    <x v="611"/>
    <n v="107"/>
    <n v="9"/>
    <x v="1"/>
    <n v="23.22"/>
    <n v="2.72"/>
    <s v="Medium"/>
    <n v="2012"/>
  </r>
  <r>
    <s v="US-2011-158554"/>
    <x v="447"/>
    <x v="160"/>
    <s v="Same Day"/>
    <x v="456"/>
    <x v="2"/>
    <s v="Santo Domingo"/>
    <s v="Dominican Republic"/>
    <s v="LATAM"/>
    <x v="11"/>
    <s v="TEC-PH-10004196"/>
    <x v="2"/>
    <x v="9"/>
    <x v="612"/>
    <n v="2045"/>
    <n v="6"/>
    <x v="6"/>
    <n v="-332.28"/>
    <n v="417.99"/>
    <s v="High"/>
    <n v="2011"/>
  </r>
  <r>
    <s v="MX-2014-153549"/>
    <x v="461"/>
    <x v="499"/>
    <s v="Standard Class"/>
    <x v="102"/>
    <x v="2"/>
    <s v="CamagÃ¼ey"/>
    <s v="Cuba"/>
    <s v="LATAM"/>
    <x v="11"/>
    <s v="OFF-AR-10004109"/>
    <x v="0"/>
    <x v="5"/>
    <x v="521"/>
    <n v="133"/>
    <n v="4"/>
    <x v="1"/>
    <n v="53.12"/>
    <n v="4.59"/>
    <s v="Medium"/>
    <n v="2014"/>
  </r>
  <r>
    <s v="ES-2014-4407511"/>
    <x v="461"/>
    <x v="504"/>
    <s v="Standard Class"/>
    <x v="278"/>
    <x v="2"/>
    <s v="Vienna"/>
    <s v="Austria"/>
    <s v="EU"/>
    <x v="2"/>
    <s v="OFF-SU-10001021"/>
    <x v="0"/>
    <x v="15"/>
    <x v="613"/>
    <n v="64"/>
    <n v="2"/>
    <x v="1"/>
    <n v="20.58"/>
    <n v="4.8899999999999997"/>
    <s v="Medium"/>
    <n v="2014"/>
  </r>
  <r>
    <s v="TZ-2013-7270"/>
    <x v="448"/>
    <x v="505"/>
    <s v="Second Class"/>
    <x v="138"/>
    <x v="0"/>
    <s v="Dar Es Salaam"/>
    <s v="Tanzania"/>
    <s v="Africa"/>
    <x v="5"/>
    <s v="OFF-ROG-10001340"/>
    <x v="0"/>
    <x v="3"/>
    <x v="614"/>
    <n v="127"/>
    <n v="1"/>
    <x v="2"/>
    <n v="9.9"/>
    <n v="19.13"/>
    <s v="High"/>
    <n v="2013"/>
  </r>
  <r>
    <s v="ES-2011-4272488"/>
    <x v="462"/>
    <x v="506"/>
    <s v="Standard Class"/>
    <x v="283"/>
    <x v="0"/>
    <s v="England"/>
    <s v="United Kingdom"/>
    <s v="EU"/>
    <x v="6"/>
    <s v="FUR-BO-10001405"/>
    <x v="1"/>
    <x v="13"/>
    <x v="615"/>
    <n v="874"/>
    <n v="7"/>
    <x v="1"/>
    <n v="340.83"/>
    <n v="90.7"/>
    <s v="Medium"/>
    <n v="2011"/>
  </r>
  <r>
    <s v="MX-2013-141425"/>
    <x v="463"/>
    <x v="507"/>
    <s v="Standard Class"/>
    <x v="101"/>
    <x v="0"/>
    <s v="Santo Domingo"/>
    <s v="Dominican Republic"/>
    <s v="LATAM"/>
    <x v="11"/>
    <s v="TEC-AC-10003927"/>
    <x v="2"/>
    <x v="11"/>
    <x v="303"/>
    <n v="62"/>
    <n v="2"/>
    <x v="6"/>
    <n v="17.744"/>
    <n v="2.81"/>
    <s v="Medium"/>
    <n v="2013"/>
  </r>
  <r>
    <s v="IN-2014-25637"/>
    <x v="464"/>
    <x v="493"/>
    <s v="Standard Class"/>
    <x v="360"/>
    <x v="1"/>
    <s v="Hebei"/>
    <s v="China"/>
    <s v="APAC"/>
    <x v="8"/>
    <s v="OFF-FA-10002177"/>
    <x v="0"/>
    <x v="6"/>
    <x v="540"/>
    <n v="20"/>
    <n v="1"/>
    <x v="1"/>
    <n v="1.59"/>
    <n v="1.57"/>
    <s v="Medium"/>
    <n v="2014"/>
  </r>
  <r>
    <s v="CA-2014-155698"/>
    <x v="465"/>
    <x v="508"/>
    <s v="First Class"/>
    <x v="435"/>
    <x v="0"/>
    <s v="Georgia"/>
    <s v="United States"/>
    <s v="US"/>
    <x v="1"/>
    <s v="OFF-LA-10001158"/>
    <x v="0"/>
    <x v="4"/>
    <x v="616"/>
    <n v="21"/>
    <n v="2"/>
    <x v="1"/>
    <n v="9.9359999999999999"/>
    <n v="3.02"/>
    <s v="High"/>
    <n v="2014"/>
  </r>
  <r>
    <s v="ES-2014-2299862"/>
    <x v="466"/>
    <x v="34"/>
    <s v="Standard Class"/>
    <x v="346"/>
    <x v="0"/>
    <s v="Bavaria"/>
    <s v="Germany"/>
    <s v="EU"/>
    <x v="2"/>
    <s v="OFF-ST-10000300"/>
    <x v="0"/>
    <x v="3"/>
    <x v="431"/>
    <n v="29"/>
    <n v="2"/>
    <x v="2"/>
    <n v="-0.03"/>
    <n v="1.93"/>
    <s v="Low"/>
    <n v="2014"/>
  </r>
  <r>
    <s v="ES-2011-4709704"/>
    <x v="467"/>
    <x v="509"/>
    <s v="Standard Class"/>
    <x v="457"/>
    <x v="2"/>
    <s v="Bavaria"/>
    <s v="Germany"/>
    <s v="EU"/>
    <x v="2"/>
    <s v="OFF-AR-10002681"/>
    <x v="0"/>
    <x v="5"/>
    <x v="617"/>
    <n v="304"/>
    <n v="6"/>
    <x v="1"/>
    <n v="97.38"/>
    <n v="25.5"/>
    <s v="Low"/>
    <n v="2011"/>
  </r>
  <r>
    <s v="US-2013-123085"/>
    <x v="448"/>
    <x v="510"/>
    <s v="Second Class"/>
    <x v="275"/>
    <x v="0"/>
    <s v="Choluteca"/>
    <s v="Honduras"/>
    <s v="LATAM"/>
    <x v="2"/>
    <s v="TEC-PH-10002127"/>
    <x v="2"/>
    <x v="9"/>
    <x v="379"/>
    <n v="521"/>
    <n v="2"/>
    <x v="5"/>
    <n v="-321.416"/>
    <n v="57.69"/>
    <s v="Medium"/>
    <n v="2013"/>
  </r>
  <r>
    <s v="IR-2012-1650"/>
    <x v="468"/>
    <x v="511"/>
    <s v="Second Class"/>
    <x v="458"/>
    <x v="0"/>
    <s v="Lorestan"/>
    <s v="Iran"/>
    <s v="EMEA"/>
    <x v="4"/>
    <s v="OFF-JIF-10002275"/>
    <x v="0"/>
    <x v="16"/>
    <x v="618"/>
    <n v="12"/>
    <n v="1"/>
    <x v="1"/>
    <n v="3.36"/>
    <n v="1.19"/>
    <s v="Medium"/>
    <n v="2012"/>
  </r>
  <r>
    <s v="MX-2014-109043"/>
    <x v="469"/>
    <x v="512"/>
    <s v="Same Day"/>
    <x v="459"/>
    <x v="0"/>
    <s v="LeÃ³n"/>
    <s v="Nicaragua"/>
    <s v="LATAM"/>
    <x v="2"/>
    <s v="OFF-FA-10003496"/>
    <x v="0"/>
    <x v="6"/>
    <x v="619"/>
    <n v="16"/>
    <n v="2"/>
    <x v="1"/>
    <n v="2.04"/>
    <n v="5.37"/>
    <s v="Critical"/>
    <n v="2014"/>
  </r>
  <r>
    <s v="IT-2014-1036058"/>
    <x v="466"/>
    <x v="179"/>
    <s v="Standard Class"/>
    <x v="287"/>
    <x v="0"/>
    <s v="North Rhine-Westphalia"/>
    <s v="Germany"/>
    <s v="EU"/>
    <x v="2"/>
    <s v="TEC-PH-10000270"/>
    <x v="2"/>
    <x v="9"/>
    <x v="620"/>
    <n v="261"/>
    <n v="4"/>
    <x v="1"/>
    <n v="99.36"/>
    <n v="22.56"/>
    <s v="High"/>
    <n v="2014"/>
  </r>
  <r>
    <s v="US-2013-167101"/>
    <x v="437"/>
    <x v="479"/>
    <s v="Standard Class"/>
    <x v="75"/>
    <x v="0"/>
    <s v="Panama"/>
    <s v="Panama"/>
    <s v="LATAM"/>
    <x v="2"/>
    <s v="OFF-FA-10004401"/>
    <x v="0"/>
    <x v="6"/>
    <x v="621"/>
    <n v="9"/>
    <n v="2"/>
    <x v="5"/>
    <n v="-1.232"/>
    <n v="0.61"/>
    <s v="Medium"/>
    <n v="2013"/>
  </r>
  <r>
    <s v="MX-2014-147487"/>
    <x v="470"/>
    <x v="513"/>
    <s v="Standard Class"/>
    <x v="460"/>
    <x v="2"/>
    <s v="Sonsonate"/>
    <s v="El Salvador"/>
    <s v="LATAM"/>
    <x v="2"/>
    <s v="OFF-FA-10003496"/>
    <x v="0"/>
    <x v="6"/>
    <x v="619"/>
    <n v="8"/>
    <n v="1"/>
    <x v="1"/>
    <n v="1.02"/>
    <n v="0.31"/>
    <s v="Medium"/>
    <n v="2014"/>
  </r>
  <r>
    <s v="MX-2011-160969"/>
    <x v="471"/>
    <x v="514"/>
    <s v="Standard Class"/>
    <x v="461"/>
    <x v="1"/>
    <s v="San Salvador"/>
    <s v="El Salvador"/>
    <s v="LATAM"/>
    <x v="2"/>
    <s v="OFF-FA-10000522"/>
    <x v="0"/>
    <x v="6"/>
    <x v="106"/>
    <n v="17"/>
    <n v="2"/>
    <x v="1"/>
    <n v="3.16"/>
    <n v="1.21"/>
    <s v="Medium"/>
    <n v="2011"/>
  </r>
  <r>
    <s v="IT-2014-3261574"/>
    <x v="472"/>
    <x v="179"/>
    <s v="Standard Class"/>
    <x v="242"/>
    <x v="2"/>
    <s v="England"/>
    <s v="United Kingdom"/>
    <s v="EU"/>
    <x v="6"/>
    <s v="OFF-LA-10004737"/>
    <x v="0"/>
    <x v="4"/>
    <x v="622"/>
    <n v="31"/>
    <n v="5"/>
    <x v="4"/>
    <n v="-7.35"/>
    <n v="4.3099999999999996"/>
    <s v="Low"/>
    <n v="2014"/>
  </r>
  <r>
    <s v="ID-2014-73272"/>
    <x v="461"/>
    <x v="515"/>
    <s v="Standard Class"/>
    <x v="29"/>
    <x v="2"/>
    <s v="Bangkok"/>
    <s v="Thailand"/>
    <s v="APAC"/>
    <x v="0"/>
    <s v="OFF-ST-10000344"/>
    <x v="0"/>
    <x v="3"/>
    <x v="623"/>
    <n v="85"/>
    <n v="8"/>
    <x v="13"/>
    <n v="-32.361600000000003"/>
    <n v="3.54"/>
    <s v="Medium"/>
    <n v="2014"/>
  </r>
  <r>
    <s v="ID-2013-57333"/>
    <x v="473"/>
    <x v="516"/>
    <s v="Second Class"/>
    <x v="30"/>
    <x v="0"/>
    <s v="Australian Capital Territory"/>
    <s v="Australia"/>
    <s v="APAC"/>
    <x v="9"/>
    <s v="OFF-EN-10001958"/>
    <x v="0"/>
    <x v="16"/>
    <x v="624"/>
    <n v="15"/>
    <n v="2"/>
    <x v="5"/>
    <n v="-7.14"/>
    <n v="3"/>
    <s v="Critical"/>
    <n v="2013"/>
  </r>
  <r>
    <s v="ES-2013-5056342"/>
    <x v="474"/>
    <x v="517"/>
    <s v="Standard Class"/>
    <x v="235"/>
    <x v="2"/>
    <s v="England"/>
    <s v="United Kingdom"/>
    <s v="EU"/>
    <x v="6"/>
    <s v="OFF-BI-10002225"/>
    <x v="0"/>
    <x v="0"/>
    <x v="625"/>
    <n v="256"/>
    <n v="5"/>
    <x v="1"/>
    <n v="89.7"/>
    <n v="26.26"/>
    <s v="Low"/>
    <n v="2013"/>
  </r>
  <r>
    <s v="CA-2011-131947"/>
    <x v="475"/>
    <x v="518"/>
    <s v="Standard Class"/>
    <x v="341"/>
    <x v="2"/>
    <s v="Oregon"/>
    <s v="United States"/>
    <s v="US"/>
    <x v="7"/>
    <s v="OFF-AR-10001473"/>
    <x v="0"/>
    <x v="5"/>
    <x v="98"/>
    <n v="5"/>
    <n v="2"/>
    <x v="6"/>
    <n v="0.4592"/>
    <n v="0.24"/>
    <s v="Medium"/>
    <n v="2011"/>
  </r>
  <r>
    <s v="HR-2014-1830"/>
    <x v="469"/>
    <x v="515"/>
    <s v="First Class"/>
    <x v="250"/>
    <x v="0"/>
    <s v="Splitsko-Dalmatinska"/>
    <s v="Croatia"/>
    <s v="EMEA"/>
    <x v="4"/>
    <s v="OFF-AVE-10002024"/>
    <x v="0"/>
    <x v="0"/>
    <x v="626"/>
    <n v="7"/>
    <n v="1"/>
    <x v="1"/>
    <n v="1.71"/>
    <n v="0.72"/>
    <s v="Medium"/>
    <n v="2014"/>
  </r>
  <r>
    <s v="SF-2013-1600"/>
    <x v="476"/>
    <x v="519"/>
    <s v="Standard Class"/>
    <x v="462"/>
    <x v="1"/>
    <s v="Gauteng"/>
    <s v="South Africa"/>
    <s v="Africa"/>
    <x v="5"/>
    <s v="OFF-AME-10000870"/>
    <x v="0"/>
    <x v="16"/>
    <x v="244"/>
    <n v="17"/>
    <n v="1"/>
    <x v="1"/>
    <n v="6.12"/>
    <n v="1.93"/>
    <s v="High"/>
    <n v="2013"/>
  </r>
  <r>
    <s v="IR-2011-4250"/>
    <x v="477"/>
    <x v="498"/>
    <s v="Second Class"/>
    <x v="463"/>
    <x v="2"/>
    <s v="Kermanshah"/>
    <s v="Iran"/>
    <s v="EMEA"/>
    <x v="4"/>
    <s v="TEC-STA-10000008"/>
    <x v="2"/>
    <x v="10"/>
    <x v="627"/>
    <n v="40"/>
    <n v="1"/>
    <x v="1"/>
    <n v="2.37"/>
    <n v="3.46"/>
    <s v="Medium"/>
    <n v="2011"/>
  </r>
  <r>
    <s v="CA-2012-103835"/>
    <x v="478"/>
    <x v="520"/>
    <s v="Standard Class"/>
    <x v="267"/>
    <x v="0"/>
    <s v="California"/>
    <s v="United States"/>
    <s v="US"/>
    <x v="7"/>
    <s v="OFF-AP-10002651"/>
    <x v="0"/>
    <x v="1"/>
    <x v="628"/>
    <n v="1158"/>
    <n v="4"/>
    <x v="1"/>
    <n v="335.85480000000001"/>
    <n v="56.16"/>
    <s v="Medium"/>
    <n v="2012"/>
  </r>
  <r>
    <s v="SG-2013-5580"/>
    <x v="479"/>
    <x v="521"/>
    <s v="Standard Class"/>
    <x v="464"/>
    <x v="0"/>
    <s v="Saint-Louis"/>
    <s v="Senegal"/>
    <s v="Africa"/>
    <x v="5"/>
    <s v="TEC-KON-10001624"/>
    <x v="2"/>
    <x v="10"/>
    <x v="283"/>
    <n v="245"/>
    <n v="2"/>
    <x v="1"/>
    <n v="70.92"/>
    <n v="18.34"/>
    <s v="Medium"/>
    <n v="2013"/>
  </r>
  <r>
    <s v="IN-2014-20338"/>
    <x v="443"/>
    <x v="522"/>
    <s v="Standard Class"/>
    <x v="435"/>
    <x v="0"/>
    <s v="National Capital"/>
    <s v="Philippines"/>
    <s v="APAC"/>
    <x v="0"/>
    <s v="OFF-AR-10004219"/>
    <x v="0"/>
    <x v="5"/>
    <x v="97"/>
    <n v="30"/>
    <n v="2"/>
    <x v="18"/>
    <n v="2.6789999999999998"/>
    <n v="1.99"/>
    <s v="Medium"/>
    <n v="2014"/>
  </r>
  <r>
    <s v="MX-2014-130890"/>
    <x v="480"/>
    <x v="523"/>
    <s v="Standard Class"/>
    <x v="77"/>
    <x v="1"/>
    <s v="MÃ©xico"/>
    <s v="Mexico"/>
    <s v="LATAM"/>
    <x v="6"/>
    <s v="FUR-BO-10003297"/>
    <x v="1"/>
    <x v="13"/>
    <x v="629"/>
    <n v="151"/>
    <n v="2"/>
    <x v="6"/>
    <n v="-28.4"/>
    <n v="8.5"/>
    <s v="High"/>
    <n v="2014"/>
  </r>
  <r>
    <s v="IT-2014-5878187"/>
    <x v="480"/>
    <x v="524"/>
    <s v="First Class"/>
    <x v="465"/>
    <x v="0"/>
    <s v="North Holland"/>
    <s v="Netherlands"/>
    <s v="EU"/>
    <x v="2"/>
    <s v="OFF-ST-10002905"/>
    <x v="0"/>
    <x v="3"/>
    <x v="630"/>
    <n v="48"/>
    <n v="4"/>
    <x v="4"/>
    <n v="-36.479999999999997"/>
    <n v="3.22"/>
    <s v="Medium"/>
    <n v="2014"/>
  </r>
  <r>
    <s v="CA-2011-137911"/>
    <x v="481"/>
    <x v="525"/>
    <s v="Standard Class"/>
    <x v="466"/>
    <x v="0"/>
    <s v="North Carolina"/>
    <s v="United States"/>
    <s v="US"/>
    <x v="1"/>
    <s v="OFF-PA-10004071"/>
    <x v="0"/>
    <x v="7"/>
    <x v="631"/>
    <n v="89"/>
    <n v="2"/>
    <x v="6"/>
    <n v="31.0688"/>
    <n v="5.24"/>
    <s v="Medium"/>
    <n v="2011"/>
  </r>
  <r>
    <s v="MX-2014-104941"/>
    <x v="482"/>
    <x v="526"/>
    <s v="Second Class"/>
    <x v="467"/>
    <x v="2"/>
    <s v="Chihuahua"/>
    <s v="Mexico"/>
    <s v="LATAM"/>
    <x v="6"/>
    <s v="OFF-AR-10000461"/>
    <x v="0"/>
    <x v="5"/>
    <x v="632"/>
    <n v="26"/>
    <n v="2"/>
    <x v="1"/>
    <n v="2.6"/>
    <n v="2.21"/>
    <s v="Medium"/>
    <n v="2014"/>
  </r>
  <r>
    <s v="IN-2013-12036"/>
    <x v="437"/>
    <x v="527"/>
    <s v="Standard Class"/>
    <x v="468"/>
    <x v="1"/>
    <s v="Beijing"/>
    <s v="China"/>
    <s v="APAC"/>
    <x v="8"/>
    <s v="FUR-CH-10002213"/>
    <x v="1"/>
    <x v="8"/>
    <x v="450"/>
    <n v="457"/>
    <n v="1"/>
    <x v="1"/>
    <n v="45.69"/>
    <n v="54.36"/>
    <s v="Low"/>
    <n v="2013"/>
  </r>
  <r>
    <s v="MX-2014-145828"/>
    <x v="483"/>
    <x v="461"/>
    <s v="Standard Class"/>
    <x v="204"/>
    <x v="2"/>
    <s v="SÃ£o Paulo"/>
    <s v="Brazil"/>
    <s v="LATAM"/>
    <x v="1"/>
    <s v="OFF-AR-10002535"/>
    <x v="0"/>
    <x v="5"/>
    <x v="173"/>
    <n v="68"/>
    <n v="4"/>
    <x v="1"/>
    <n v="17.52"/>
    <n v="4.58"/>
    <s v="Medium"/>
    <n v="2014"/>
  </r>
  <r>
    <s v="MX-2014-158505"/>
    <x v="484"/>
    <x v="523"/>
    <s v="Standard Class"/>
    <x v="469"/>
    <x v="0"/>
    <s v="Coahuila"/>
    <s v="Mexico"/>
    <s v="LATAM"/>
    <x v="6"/>
    <s v="OFF-AP-10002317"/>
    <x v="0"/>
    <x v="1"/>
    <x v="633"/>
    <n v="668"/>
    <n v="2"/>
    <x v="1"/>
    <n v="287.16000000000003"/>
    <n v="34.840000000000003"/>
    <s v="Medium"/>
    <n v="2014"/>
  </r>
  <r>
    <s v="IT-2012-1314917"/>
    <x v="485"/>
    <x v="528"/>
    <s v="Standard Class"/>
    <x v="470"/>
    <x v="0"/>
    <s v="Nord-Pas-de-Calais"/>
    <s v="France"/>
    <s v="EU"/>
    <x v="2"/>
    <s v="OFF-AP-10000304"/>
    <x v="0"/>
    <x v="1"/>
    <x v="634"/>
    <n v="505"/>
    <n v="1"/>
    <x v="2"/>
    <n v="44.915999999999997"/>
    <n v="31.58"/>
    <s v="Medium"/>
    <n v="2012"/>
  </r>
  <r>
    <s v="US-2014-118794"/>
    <x v="453"/>
    <x v="529"/>
    <s v="First Class"/>
    <x v="471"/>
    <x v="0"/>
    <s v="Santa Fe"/>
    <s v="Argentina"/>
    <s v="LATAM"/>
    <x v="1"/>
    <s v="OFF-ST-10001440"/>
    <x v="0"/>
    <x v="3"/>
    <x v="361"/>
    <n v="77"/>
    <n v="4"/>
    <x v="5"/>
    <n v="8.9920000000000009"/>
    <n v="11.29"/>
    <s v="High"/>
    <n v="2014"/>
  </r>
  <r>
    <s v="MX-2014-158386"/>
    <x v="464"/>
    <x v="530"/>
    <s v="Same Day"/>
    <x v="272"/>
    <x v="2"/>
    <s v="Pichincha"/>
    <s v="Ecuador"/>
    <s v="LATAM"/>
    <x v="1"/>
    <s v="FUR-FU-10004903"/>
    <x v="1"/>
    <x v="2"/>
    <x v="272"/>
    <n v="50"/>
    <n v="3"/>
    <x v="1"/>
    <n v="14.58"/>
    <n v="17.61"/>
    <s v="Critical"/>
    <n v="2014"/>
  </r>
  <r>
    <s v="ES-2012-2223892"/>
    <x v="468"/>
    <x v="494"/>
    <s v="First Class"/>
    <x v="472"/>
    <x v="0"/>
    <s v="Utrecht"/>
    <s v="Netherlands"/>
    <s v="EU"/>
    <x v="2"/>
    <s v="TEC-CO-10000620"/>
    <x v="2"/>
    <x v="14"/>
    <x v="635"/>
    <n v="189"/>
    <n v="1"/>
    <x v="4"/>
    <n v="-155.17500000000001"/>
    <n v="42.15"/>
    <s v="High"/>
    <n v="2012"/>
  </r>
  <r>
    <s v="CA-2014-112004"/>
    <x v="482"/>
    <x v="523"/>
    <s v="First Class"/>
    <x v="283"/>
    <x v="0"/>
    <s v="Pennsylvania"/>
    <s v="United States"/>
    <s v="US"/>
    <x v="12"/>
    <s v="OFF-BI-10003476"/>
    <x v="0"/>
    <x v="0"/>
    <x v="636"/>
    <n v="9"/>
    <n v="5"/>
    <x v="7"/>
    <n v="-6.3029999999999999"/>
    <n v="1.37"/>
    <s v="Medium"/>
    <n v="2014"/>
  </r>
  <r>
    <s v="IV-2012-7600"/>
    <x v="452"/>
    <x v="494"/>
    <s v="Second Class"/>
    <x v="73"/>
    <x v="0"/>
    <s v="Vallee Du Bandama"/>
    <s v="Cote d'Ivoire"/>
    <s v="Africa"/>
    <x v="5"/>
    <s v="TEC-CIS-10002565"/>
    <x v="2"/>
    <x v="9"/>
    <x v="637"/>
    <n v="140"/>
    <n v="1"/>
    <x v="1"/>
    <n v="47.52"/>
    <n v="13.29"/>
    <s v="Medium"/>
    <n v="2012"/>
  </r>
  <r>
    <s v="IT-2013-2925328"/>
    <x v="437"/>
    <x v="531"/>
    <s v="Second Class"/>
    <x v="473"/>
    <x v="2"/>
    <s v="Limburg"/>
    <s v="Netherlands"/>
    <s v="EU"/>
    <x v="2"/>
    <s v="OFF-AR-10000724"/>
    <x v="0"/>
    <x v="5"/>
    <x v="219"/>
    <n v="15"/>
    <n v="2"/>
    <x v="4"/>
    <n v="-10.26"/>
    <n v="0.78"/>
    <s v="Medium"/>
    <n v="2013"/>
  </r>
  <r>
    <s v="AG-2012-8490"/>
    <x v="486"/>
    <x v="532"/>
    <s v="Standard Class"/>
    <x v="474"/>
    <x v="2"/>
    <s v="Batna"/>
    <s v="Algeria"/>
    <s v="Africa"/>
    <x v="5"/>
    <s v="OFF-WIL-10002153"/>
    <x v="0"/>
    <x v="0"/>
    <x v="120"/>
    <n v="27"/>
    <n v="1"/>
    <x v="1"/>
    <n v="7.68"/>
    <n v="1.85"/>
    <s v="Medium"/>
    <n v="2012"/>
  </r>
  <r>
    <s v="ID-2012-78207"/>
    <x v="486"/>
    <x v="533"/>
    <s v="Second Class"/>
    <x v="397"/>
    <x v="2"/>
    <s v="Jawa Barat"/>
    <s v="Indonesia"/>
    <s v="APAC"/>
    <x v="0"/>
    <s v="OFF-AP-10001621"/>
    <x v="0"/>
    <x v="1"/>
    <x v="638"/>
    <n v="2488"/>
    <n v="6"/>
    <x v="0"/>
    <n v="-269.7912"/>
    <n v="562.14"/>
    <s v="Critical"/>
    <n v="2012"/>
  </r>
  <r>
    <s v="CA-2013-168557"/>
    <x v="441"/>
    <x v="483"/>
    <s v="Standard Class"/>
    <x v="238"/>
    <x v="0"/>
    <s v="California"/>
    <s v="United States"/>
    <s v="US"/>
    <x v="7"/>
    <s v="OFF-BI-10002309"/>
    <x v="0"/>
    <x v="0"/>
    <x v="639"/>
    <n v="9"/>
    <n v="2"/>
    <x v="6"/>
    <n v="3.1248"/>
    <n v="0.7"/>
    <s v="Medium"/>
    <n v="2013"/>
  </r>
  <r>
    <s v="UP-2014-1400"/>
    <x v="482"/>
    <x v="118"/>
    <s v="Standard Class"/>
    <x v="92"/>
    <x v="2"/>
    <s v="Poltava"/>
    <s v="Ukraine"/>
    <s v="EMEA"/>
    <x v="4"/>
    <s v="OFF-AVE-10000432"/>
    <x v="0"/>
    <x v="0"/>
    <x v="398"/>
    <n v="12"/>
    <n v="2"/>
    <x v="1"/>
    <n v="3.12"/>
    <n v="0.94"/>
    <s v="Medium"/>
    <n v="2014"/>
  </r>
  <r>
    <s v="CA-2012-149972"/>
    <x v="452"/>
    <x v="532"/>
    <s v="First Class"/>
    <x v="211"/>
    <x v="1"/>
    <s v="California"/>
    <s v="United States"/>
    <s v="US"/>
    <x v="7"/>
    <s v="FUR-CH-10004997"/>
    <x v="1"/>
    <x v="8"/>
    <x v="640"/>
    <n v="602"/>
    <n v="4"/>
    <x v="6"/>
    <n v="0"/>
    <n v="27.14"/>
    <s v="High"/>
    <n v="2012"/>
  </r>
  <r>
    <s v="IN-2013-52419"/>
    <x v="473"/>
    <x v="534"/>
    <s v="Standard Class"/>
    <x v="6"/>
    <x v="2"/>
    <s v="Th? DÃ´ HÃ  N?i"/>
    <s v="Vietnam"/>
    <s v="APAC"/>
    <x v="0"/>
    <s v="OFF-LA-10003627"/>
    <x v="0"/>
    <x v="4"/>
    <x v="641"/>
    <n v="14"/>
    <n v="4"/>
    <x v="0"/>
    <n v="0.88439999999999996"/>
    <n v="1.2"/>
    <s v="Medium"/>
    <n v="2013"/>
  </r>
  <r>
    <s v="CA-2013-156685"/>
    <x v="487"/>
    <x v="535"/>
    <s v="Second Class"/>
    <x v="48"/>
    <x v="0"/>
    <s v="Texas"/>
    <s v="United States"/>
    <s v="US"/>
    <x v="2"/>
    <s v="OFF-AR-10000588"/>
    <x v="0"/>
    <x v="5"/>
    <x v="642"/>
    <n v="48"/>
    <n v="3"/>
    <x v="6"/>
    <n v="3.5712000000000002"/>
    <n v="3.7"/>
    <s v="Medium"/>
    <n v="2013"/>
  </r>
  <r>
    <s v="IN-2013-15466"/>
    <x v="488"/>
    <x v="527"/>
    <s v="Standard Class"/>
    <x v="116"/>
    <x v="2"/>
    <s v="Fujian"/>
    <s v="China"/>
    <s v="APAC"/>
    <x v="8"/>
    <s v="OFF-FA-10003378"/>
    <x v="0"/>
    <x v="6"/>
    <x v="643"/>
    <n v="73"/>
    <n v="5"/>
    <x v="1"/>
    <n v="28.5"/>
    <n v="2.66"/>
    <s v="Medium"/>
    <n v="2013"/>
  </r>
  <r>
    <s v="CA-2013-130078"/>
    <x v="448"/>
    <x v="491"/>
    <s v="Standard Class"/>
    <x v="475"/>
    <x v="2"/>
    <s v="Oklahoma"/>
    <s v="United States"/>
    <s v="US"/>
    <x v="2"/>
    <s v="OFF-PA-10003270"/>
    <x v="0"/>
    <x v="7"/>
    <x v="644"/>
    <n v="11"/>
    <n v="2"/>
    <x v="1"/>
    <n v="4.7519999999999998"/>
    <n v="1.1399999999999999"/>
    <s v="Medium"/>
    <n v="2013"/>
  </r>
  <r>
    <s v="RS-2012-6690"/>
    <x v="489"/>
    <x v="511"/>
    <s v="First Class"/>
    <x v="476"/>
    <x v="0"/>
    <s v="Dagestan"/>
    <s v="Russia"/>
    <s v="EMEA"/>
    <x v="4"/>
    <s v="OFF-SAN-10002323"/>
    <x v="0"/>
    <x v="5"/>
    <x v="21"/>
    <n v="93"/>
    <n v="2"/>
    <x v="1"/>
    <n v="43.92"/>
    <n v="14.29"/>
    <s v="Medium"/>
    <n v="2012"/>
  </r>
  <r>
    <s v="ID-2011-61876"/>
    <x v="458"/>
    <x v="536"/>
    <s v="Standard Class"/>
    <x v="151"/>
    <x v="1"/>
    <s v="Daejeon"/>
    <s v="South Korea"/>
    <s v="APAC"/>
    <x v="8"/>
    <s v="OFF-BI-10002632"/>
    <x v="0"/>
    <x v="0"/>
    <x v="645"/>
    <n v="26"/>
    <n v="1"/>
    <x v="4"/>
    <n v="-11.835000000000001"/>
    <n v="1.27"/>
    <s v="Medium"/>
    <n v="2011"/>
  </r>
  <r>
    <s v="IN-2014-71235"/>
    <x v="469"/>
    <x v="512"/>
    <s v="Same Day"/>
    <x v="262"/>
    <x v="0"/>
    <s v="Queensland"/>
    <s v="Australia"/>
    <s v="APAC"/>
    <x v="9"/>
    <s v="OFF-PA-10000453"/>
    <x v="0"/>
    <x v="7"/>
    <x v="646"/>
    <n v="88"/>
    <n v="2"/>
    <x v="2"/>
    <n v="24.498000000000001"/>
    <n v="5.95"/>
    <s v="Medium"/>
    <n v="2014"/>
  </r>
  <r>
    <s v="US-2011-114342"/>
    <x v="490"/>
    <x v="481"/>
    <s v="Same Day"/>
    <x v="477"/>
    <x v="2"/>
    <s v="San Juan"/>
    <s v="Argentina"/>
    <s v="LATAM"/>
    <x v="1"/>
    <s v="FUR-BO-10004340"/>
    <x v="1"/>
    <x v="13"/>
    <x v="647"/>
    <n v="705"/>
    <n v="4"/>
    <x v="5"/>
    <n v="-411.32799999999997"/>
    <n v="128.72"/>
    <s v="High"/>
    <n v="2011"/>
  </r>
  <r>
    <s v="MX-2011-117107"/>
    <x v="491"/>
    <x v="537"/>
    <s v="Standard Class"/>
    <x v="478"/>
    <x v="2"/>
    <s v="Distrito Federal"/>
    <s v="Mexico"/>
    <s v="LATAM"/>
    <x v="6"/>
    <s v="OFF-ST-10000442"/>
    <x v="0"/>
    <x v="3"/>
    <x v="648"/>
    <n v="15"/>
    <n v="1"/>
    <x v="1"/>
    <n v="2.9"/>
    <n v="0.69"/>
    <s v="Medium"/>
    <n v="2011"/>
  </r>
  <r>
    <s v="ES-2012-5195118"/>
    <x v="492"/>
    <x v="538"/>
    <s v="Standard Class"/>
    <x v="319"/>
    <x v="1"/>
    <s v="England"/>
    <s v="United Kingdom"/>
    <s v="EU"/>
    <x v="6"/>
    <s v="TEC-PH-10003439"/>
    <x v="2"/>
    <x v="9"/>
    <x v="649"/>
    <n v="334"/>
    <n v="2"/>
    <x v="1"/>
    <n v="106.86"/>
    <n v="40.69"/>
    <s v="Low"/>
    <n v="2012"/>
  </r>
  <r>
    <s v="IN-2014-59475"/>
    <x v="493"/>
    <x v="539"/>
    <s v="Second Class"/>
    <x v="184"/>
    <x v="0"/>
    <s v="Kalimantan Timur"/>
    <s v="Indonesia"/>
    <s v="APAC"/>
    <x v="0"/>
    <s v="FUR-FU-10002335"/>
    <x v="1"/>
    <x v="2"/>
    <x v="650"/>
    <n v="23"/>
    <n v="2"/>
    <x v="17"/>
    <n v="0.31019999999999998"/>
    <n v="1.42"/>
    <s v="Medium"/>
    <n v="2014"/>
  </r>
  <r>
    <s v="IN-2011-46413"/>
    <x v="494"/>
    <x v="540"/>
    <s v="Same Day"/>
    <x v="175"/>
    <x v="2"/>
    <s v="West Bengal"/>
    <s v="India"/>
    <s v="APAC"/>
    <x v="3"/>
    <s v="FUR-CH-10000602"/>
    <x v="1"/>
    <x v="8"/>
    <x v="651"/>
    <n v="2301"/>
    <n v="5"/>
    <x v="1"/>
    <n v="91.95"/>
    <n v="573.27"/>
    <s v="Critical"/>
    <n v="2011"/>
  </r>
  <r>
    <s v="IR-2013-6870"/>
    <x v="495"/>
    <x v="541"/>
    <s v="Standard Class"/>
    <x v="128"/>
    <x v="1"/>
    <s v="Fars"/>
    <s v="Iran"/>
    <s v="EMEA"/>
    <x v="4"/>
    <s v="OFF-SME-10003305"/>
    <x v="0"/>
    <x v="4"/>
    <x v="652"/>
    <n v="7"/>
    <n v="1"/>
    <x v="1"/>
    <n v="0.39"/>
    <n v="0.41"/>
    <s v="Medium"/>
    <n v="2013"/>
  </r>
  <r>
    <s v="CA-2014-147277"/>
    <x v="496"/>
    <x v="542"/>
    <s v="Standard Class"/>
    <x v="152"/>
    <x v="0"/>
    <s v="Ohio"/>
    <s v="United States"/>
    <s v="US"/>
    <x v="12"/>
    <s v="OFF-ST-10000142"/>
    <x v="0"/>
    <x v="3"/>
    <x v="653"/>
    <n v="665"/>
    <n v="2"/>
    <x v="6"/>
    <n v="66.540800000000004"/>
    <n v="2.57"/>
    <s v="Medium"/>
    <n v="2014"/>
  </r>
  <r>
    <s v="CA-2014-155558"/>
    <x v="497"/>
    <x v="543"/>
    <s v="Standard Class"/>
    <x v="479"/>
    <x v="2"/>
    <s v="Minnesota"/>
    <s v="United States"/>
    <s v="US"/>
    <x v="2"/>
    <s v="OFF-LA-10000134"/>
    <x v="0"/>
    <x v="4"/>
    <x v="654"/>
    <n v="6"/>
    <n v="2"/>
    <x v="1"/>
    <n v="2.9567999999999999"/>
    <n v="0.23"/>
    <s v="Low"/>
    <n v="2014"/>
  </r>
  <r>
    <s v="IT-2013-4559122"/>
    <x v="498"/>
    <x v="544"/>
    <s v="Second Class"/>
    <x v="397"/>
    <x v="2"/>
    <s v="ZÃ¼rich"/>
    <s v="Switzerland"/>
    <s v="EU"/>
    <x v="2"/>
    <s v="OFF-ST-10000952"/>
    <x v="0"/>
    <x v="3"/>
    <x v="655"/>
    <n v="382"/>
    <n v="3"/>
    <x v="1"/>
    <n v="3.78"/>
    <n v="50.2"/>
    <s v="Medium"/>
    <n v="2013"/>
  </r>
  <r>
    <s v="MX-2012-118248"/>
    <x v="499"/>
    <x v="545"/>
    <s v="Second Class"/>
    <x v="477"/>
    <x v="2"/>
    <s v="HolguÃ­n"/>
    <s v="Cuba"/>
    <s v="LATAM"/>
    <x v="11"/>
    <s v="OFF-PA-10000362"/>
    <x v="0"/>
    <x v="7"/>
    <x v="48"/>
    <n v="44"/>
    <n v="5"/>
    <x v="1"/>
    <n v="8.8000000000000007"/>
    <n v="9.06"/>
    <s v="High"/>
    <n v="2012"/>
  </r>
  <r>
    <s v="IN-2011-44558"/>
    <x v="500"/>
    <x v="546"/>
    <s v="Standard Class"/>
    <x v="115"/>
    <x v="1"/>
    <s v="Maharashtra"/>
    <s v="India"/>
    <s v="APAC"/>
    <x v="3"/>
    <s v="OFF-EN-10002671"/>
    <x v="0"/>
    <x v="16"/>
    <x v="656"/>
    <n v="205"/>
    <n v="4"/>
    <x v="1"/>
    <n v="28.68"/>
    <n v="19.87"/>
    <s v="Medium"/>
    <n v="2011"/>
  </r>
  <r>
    <s v="US-2012-126284"/>
    <x v="501"/>
    <x v="547"/>
    <s v="Standard Class"/>
    <x v="480"/>
    <x v="1"/>
    <s v="Aragua"/>
    <s v="Venezuela"/>
    <s v="LATAM"/>
    <x v="1"/>
    <s v="OFF-FA-10002782"/>
    <x v="0"/>
    <x v="6"/>
    <x v="657"/>
    <n v="9"/>
    <n v="2"/>
    <x v="5"/>
    <n v="-1.3360000000000001"/>
    <n v="0.31"/>
    <s v="Medium"/>
    <n v="2012"/>
  </r>
  <r>
    <s v="CA-2012-146829"/>
    <x v="502"/>
    <x v="415"/>
    <s v="Same Day"/>
    <x v="481"/>
    <x v="2"/>
    <s v="Texas"/>
    <s v="United States"/>
    <s v="US"/>
    <x v="2"/>
    <s v="OFF-BI-10004022"/>
    <x v="0"/>
    <x v="0"/>
    <x v="658"/>
    <n v="1"/>
    <n v="2"/>
    <x v="15"/>
    <n v="-1.8904000000000001"/>
    <n v="0.06"/>
    <s v="High"/>
    <n v="2012"/>
  </r>
  <r>
    <s v="IN-2014-18917"/>
    <x v="497"/>
    <x v="548"/>
    <s v="Second Class"/>
    <x v="482"/>
    <x v="2"/>
    <s v="Gansu"/>
    <s v="China"/>
    <s v="APAC"/>
    <x v="8"/>
    <s v="TEC-PH-10000822"/>
    <x v="2"/>
    <x v="9"/>
    <x v="659"/>
    <n v="249"/>
    <n v="2"/>
    <x v="1"/>
    <n v="59.76"/>
    <n v="30.12"/>
    <s v="High"/>
    <n v="2014"/>
  </r>
  <r>
    <s v="ES-2012-3770443"/>
    <x v="503"/>
    <x v="549"/>
    <s v="Standard Class"/>
    <x v="150"/>
    <x v="2"/>
    <s v="Bavaria"/>
    <s v="Germany"/>
    <s v="EU"/>
    <x v="2"/>
    <s v="OFF-FA-10004359"/>
    <x v="0"/>
    <x v="6"/>
    <x v="660"/>
    <n v="36"/>
    <n v="3"/>
    <x v="1"/>
    <n v="8.91"/>
    <n v="3.06"/>
    <s v="Medium"/>
    <n v="2012"/>
  </r>
  <r>
    <s v="IN-2014-81399"/>
    <x v="504"/>
    <x v="539"/>
    <s v="Standard Class"/>
    <x v="392"/>
    <x v="0"/>
    <s v="Canterbury"/>
    <s v="New Zealand"/>
    <s v="APAC"/>
    <x v="9"/>
    <s v="OFF-SU-10001891"/>
    <x v="0"/>
    <x v="15"/>
    <x v="577"/>
    <n v="38"/>
    <n v="1"/>
    <x v="1"/>
    <n v="11.25"/>
    <n v="2.1800000000000002"/>
    <s v="Medium"/>
    <n v="2014"/>
  </r>
  <r>
    <s v="UP-2012-5910"/>
    <x v="499"/>
    <x v="550"/>
    <s v="Standard Class"/>
    <x v="31"/>
    <x v="2"/>
    <s v="L'viv"/>
    <s v="Ukraine"/>
    <s v="EMEA"/>
    <x v="4"/>
    <s v="OFF-IBI-10000951"/>
    <x v="0"/>
    <x v="0"/>
    <x v="661"/>
    <n v="14"/>
    <n v="1"/>
    <x v="1"/>
    <n v="1.89"/>
    <n v="0.99"/>
    <s v="Medium"/>
    <n v="2012"/>
  </r>
  <r>
    <s v="CA-2012-150413"/>
    <x v="505"/>
    <x v="545"/>
    <s v="Second Class"/>
    <x v="483"/>
    <x v="2"/>
    <s v="Texas"/>
    <s v="United States"/>
    <s v="US"/>
    <x v="2"/>
    <s v="OFF-BI-10000404"/>
    <x v="0"/>
    <x v="0"/>
    <x v="662"/>
    <n v="2"/>
    <n v="1"/>
    <x v="15"/>
    <n v="-2.8380000000000001"/>
    <n v="0.16"/>
    <s v="Medium"/>
    <n v="2012"/>
  </r>
  <r>
    <s v="ID-2012-13268"/>
    <x v="506"/>
    <x v="551"/>
    <s v="Standard Class"/>
    <x v="229"/>
    <x v="2"/>
    <s v="New South Wales"/>
    <s v="Australia"/>
    <s v="APAC"/>
    <x v="9"/>
    <s v="TEC-CO-10002380"/>
    <x v="2"/>
    <x v="14"/>
    <x v="663"/>
    <n v="341"/>
    <n v="2"/>
    <x v="2"/>
    <n v="-7.6079999999999997"/>
    <n v="24.87"/>
    <s v="Medium"/>
    <n v="2012"/>
  </r>
  <r>
    <s v="MA-2013-1850"/>
    <x v="507"/>
    <x v="552"/>
    <s v="First Class"/>
    <x v="340"/>
    <x v="1"/>
    <s v="Analamanga"/>
    <s v="Madagascar"/>
    <s v="Africa"/>
    <x v="5"/>
    <s v="TEC-STA-10003330"/>
    <x v="2"/>
    <x v="10"/>
    <x v="664"/>
    <n v="1520"/>
    <n v="6"/>
    <x v="1"/>
    <n v="653.4"/>
    <n v="286.2"/>
    <s v="Critical"/>
    <n v="2013"/>
  </r>
  <r>
    <s v="US-2013-128482"/>
    <x v="508"/>
    <x v="553"/>
    <s v="Standard Class"/>
    <x v="350"/>
    <x v="2"/>
    <s v="AtlÃ¡ntida"/>
    <s v="Honduras"/>
    <s v="LATAM"/>
    <x v="2"/>
    <s v="TEC-PH-10000087"/>
    <x v="2"/>
    <x v="9"/>
    <x v="665"/>
    <n v="391"/>
    <n v="7"/>
    <x v="5"/>
    <n v="-221.34"/>
    <n v="26.11"/>
    <s v="Medium"/>
    <n v="2013"/>
  </r>
  <r>
    <s v="US-2014-160164"/>
    <x v="493"/>
    <x v="554"/>
    <s v="Second Class"/>
    <x v="116"/>
    <x v="2"/>
    <s v="Bahia"/>
    <s v="Brazil"/>
    <s v="LATAM"/>
    <x v="1"/>
    <s v="TEC-PH-10001602"/>
    <x v="2"/>
    <x v="9"/>
    <x v="666"/>
    <n v="71"/>
    <n v="4"/>
    <x v="3"/>
    <n v="-51.456000000000003"/>
    <n v="6.84"/>
    <s v="High"/>
    <n v="2014"/>
  </r>
  <r>
    <s v="IT-2012-2834141"/>
    <x v="503"/>
    <x v="212"/>
    <s v="Standard Class"/>
    <x v="484"/>
    <x v="2"/>
    <s v="South Holland"/>
    <s v="Netherlands"/>
    <s v="EU"/>
    <x v="2"/>
    <s v="OFF-PA-10002534"/>
    <x v="0"/>
    <x v="7"/>
    <x v="667"/>
    <n v="28"/>
    <n v="3"/>
    <x v="4"/>
    <n v="-7.74"/>
    <n v="1.9"/>
    <s v="Medium"/>
    <n v="2012"/>
  </r>
  <r>
    <s v="MX-2014-143763"/>
    <x v="509"/>
    <x v="555"/>
    <s v="Standard Class"/>
    <x v="207"/>
    <x v="2"/>
    <s v="Pernambuco"/>
    <s v="Brazil"/>
    <s v="LATAM"/>
    <x v="1"/>
    <s v="OFF-LA-10003820"/>
    <x v="0"/>
    <x v="4"/>
    <x v="435"/>
    <n v="34"/>
    <n v="5"/>
    <x v="1"/>
    <n v="7.9"/>
    <n v="3.52"/>
    <s v="Medium"/>
    <n v="2014"/>
  </r>
  <r>
    <s v="US-2013-131912"/>
    <x v="510"/>
    <x v="556"/>
    <s v="Second Class"/>
    <x v="355"/>
    <x v="2"/>
    <s v="California"/>
    <s v="United States"/>
    <s v="US"/>
    <x v="7"/>
    <s v="OFF-BI-10004236"/>
    <x v="0"/>
    <x v="0"/>
    <x v="668"/>
    <n v="12"/>
    <n v="1"/>
    <x v="6"/>
    <n v="3.8168000000000002"/>
    <n v="2.67"/>
    <s v="Critical"/>
    <n v="2013"/>
  </r>
  <r>
    <s v="CA-2013-147368"/>
    <x v="511"/>
    <x v="557"/>
    <s v="First Class"/>
    <x v="485"/>
    <x v="2"/>
    <s v="Florida"/>
    <s v="United States"/>
    <s v="US"/>
    <x v="1"/>
    <s v="TEC-MA-10002178"/>
    <x v="2"/>
    <x v="10"/>
    <x v="669"/>
    <n v="696"/>
    <n v="2"/>
    <x v="4"/>
    <n v="-27.827999999999999"/>
    <n v="356.68"/>
    <s v="Critical"/>
    <n v="2013"/>
  </r>
  <r>
    <s v="ES-2014-2022735"/>
    <x v="512"/>
    <x v="558"/>
    <s v="Second Class"/>
    <x v="230"/>
    <x v="0"/>
    <s v="North Rhine-Westphalia"/>
    <s v="Germany"/>
    <s v="EU"/>
    <x v="2"/>
    <s v="TEC-PH-10004635"/>
    <x v="2"/>
    <x v="9"/>
    <x v="670"/>
    <n v="130"/>
    <n v="2"/>
    <x v="1"/>
    <n v="30"/>
    <n v="15.48"/>
    <s v="Medium"/>
    <n v="2014"/>
  </r>
  <r>
    <s v="SA-2012-7870"/>
    <x v="513"/>
    <x v="559"/>
    <s v="First Class"/>
    <x v="467"/>
    <x v="2"/>
    <s v="Makkah"/>
    <s v="Saudi Arabia"/>
    <s v="EMEA"/>
    <x v="4"/>
    <s v="TEC-SAN-10004424"/>
    <x v="2"/>
    <x v="11"/>
    <x v="671"/>
    <n v="513"/>
    <n v="2"/>
    <x v="1"/>
    <n v="199.92"/>
    <n v="77.92"/>
    <s v="High"/>
    <n v="2012"/>
  </r>
  <r>
    <s v="US-2012-161053"/>
    <x v="514"/>
    <x v="560"/>
    <s v="Standard Class"/>
    <x v="486"/>
    <x v="0"/>
    <s v="Tabasco"/>
    <s v="Mexico"/>
    <s v="LATAM"/>
    <x v="6"/>
    <s v="FUR-FU-10004787"/>
    <x v="1"/>
    <x v="2"/>
    <x v="672"/>
    <n v="87"/>
    <n v="2"/>
    <x v="5"/>
    <n v="-51.92"/>
    <n v="5.1100000000000003"/>
    <s v="Medium"/>
    <n v="2012"/>
  </r>
  <r>
    <s v="AO-2014-2110"/>
    <x v="515"/>
    <x v="561"/>
    <s v="Second Class"/>
    <x v="260"/>
    <x v="2"/>
    <s v="Huambo"/>
    <s v="Angola"/>
    <s v="Africa"/>
    <x v="5"/>
    <s v="OFF-ACC-10001285"/>
    <x v="0"/>
    <x v="0"/>
    <x v="191"/>
    <n v="34"/>
    <n v="4"/>
    <x v="1"/>
    <n v="5.4"/>
    <n v="3.59"/>
    <s v="High"/>
    <n v="2014"/>
  </r>
  <r>
    <s v="US-2012-138093"/>
    <x v="506"/>
    <x v="562"/>
    <s v="Standard Class"/>
    <x v="487"/>
    <x v="0"/>
    <s v="Maryland"/>
    <s v="United States"/>
    <s v="US"/>
    <x v="12"/>
    <s v="OFF-PA-10001509"/>
    <x v="0"/>
    <x v="7"/>
    <x v="673"/>
    <n v="45"/>
    <n v="5"/>
    <x v="1"/>
    <n v="20.585000000000001"/>
    <n v="4.1900000000000004"/>
    <s v="Medium"/>
    <n v="2012"/>
  </r>
  <r>
    <s v="IN-2014-53070"/>
    <x v="516"/>
    <x v="563"/>
    <s v="Same Day"/>
    <x v="488"/>
    <x v="1"/>
    <s v="Jakarta"/>
    <s v="Indonesia"/>
    <s v="APAC"/>
    <x v="0"/>
    <s v="FUR-FU-10002246"/>
    <x v="1"/>
    <x v="2"/>
    <x v="674"/>
    <n v="643"/>
    <n v="8"/>
    <x v="17"/>
    <n v="105.5136"/>
    <n v="108.46"/>
    <s v="High"/>
    <n v="2014"/>
  </r>
  <r>
    <s v="US-2012-138464"/>
    <x v="499"/>
    <x v="564"/>
    <s v="Standard Class"/>
    <x v="489"/>
    <x v="2"/>
    <s v="Panama"/>
    <s v="Panama"/>
    <s v="LATAM"/>
    <x v="2"/>
    <s v="TEC-CO-10001371"/>
    <x v="2"/>
    <x v="14"/>
    <x v="285"/>
    <n v="67"/>
    <n v="1"/>
    <x v="11"/>
    <n v="-44.064799999999998"/>
    <n v="5.28"/>
    <s v="High"/>
    <n v="2012"/>
  </r>
  <r>
    <s v="ES-2013-3046064"/>
    <x v="517"/>
    <x v="517"/>
    <s v="Standard Class"/>
    <x v="458"/>
    <x v="0"/>
    <s v="Emilia-Romagna"/>
    <s v="Italy"/>
    <s v="EU"/>
    <x v="1"/>
    <s v="OFF-AR-10000594"/>
    <x v="0"/>
    <x v="5"/>
    <x v="632"/>
    <n v="20"/>
    <n v="1"/>
    <x v="1"/>
    <n v="8.2799999999999994"/>
    <n v="0.79"/>
    <s v="Medium"/>
    <n v="2013"/>
  </r>
  <r>
    <s v="CA-2014-100951"/>
    <x v="518"/>
    <x v="565"/>
    <s v="First Class"/>
    <x v="262"/>
    <x v="0"/>
    <s v="Texas"/>
    <s v="United States"/>
    <s v="US"/>
    <x v="2"/>
    <s v="OFF-ST-10001496"/>
    <x v="0"/>
    <x v="3"/>
    <x v="675"/>
    <n v="721"/>
    <n v="5"/>
    <x v="6"/>
    <n v="54.057000000000002"/>
    <n v="55.4"/>
    <s v="Medium"/>
    <n v="2014"/>
  </r>
  <r>
    <s v="CA-2014-152807"/>
    <x v="519"/>
    <x v="566"/>
    <s v="Standard Class"/>
    <x v="447"/>
    <x v="2"/>
    <s v="Pennsylvania"/>
    <s v="United States"/>
    <s v="US"/>
    <x v="12"/>
    <s v="OFF-PA-10004355"/>
    <x v="0"/>
    <x v="7"/>
    <x v="676"/>
    <n v="21"/>
    <n v="4"/>
    <x v="6"/>
    <n v="7.2576000000000001"/>
    <n v="3.29"/>
    <s v="High"/>
    <n v="2014"/>
  </r>
  <r>
    <s v="CA-2011-125731"/>
    <x v="520"/>
    <x v="567"/>
    <s v="Standard Class"/>
    <x v="356"/>
    <x v="2"/>
    <s v="Oregon"/>
    <s v="United States"/>
    <s v="US"/>
    <x v="7"/>
    <s v="OFF-EN-10003072"/>
    <x v="0"/>
    <x v="16"/>
    <x v="677"/>
    <n v="22"/>
    <n v="7"/>
    <x v="6"/>
    <n v="7.6048"/>
    <n v="1.1000000000000001"/>
    <s v="Medium"/>
    <n v="2011"/>
  </r>
  <r>
    <s v="TO-2013-3020"/>
    <x v="511"/>
    <x v="568"/>
    <s v="Standard Class"/>
    <x v="247"/>
    <x v="1"/>
    <s v="Maritime"/>
    <s v="Togo"/>
    <s v="Africa"/>
    <x v="5"/>
    <s v="OFF-WIL-10001069"/>
    <x v="0"/>
    <x v="0"/>
    <x v="678"/>
    <n v="8"/>
    <n v="2"/>
    <x v="1"/>
    <n v="0.84"/>
    <n v="0.66"/>
    <s v="Medium"/>
    <n v="2013"/>
  </r>
  <r>
    <s v="IZ-2014-2130"/>
    <x v="521"/>
    <x v="569"/>
    <s v="Standard Class"/>
    <x v="296"/>
    <x v="0"/>
    <s v="Baghdad"/>
    <s v="Iraq"/>
    <s v="EMEA"/>
    <x v="4"/>
    <s v="OFF-ADV-10004274"/>
    <x v="0"/>
    <x v="6"/>
    <x v="679"/>
    <n v="14"/>
    <n v="1"/>
    <x v="1"/>
    <n v="2.58"/>
    <n v="0.4"/>
    <s v="Medium"/>
    <n v="2014"/>
  </r>
  <r>
    <s v="IR-2013-6870"/>
    <x v="495"/>
    <x v="541"/>
    <s v="Standard Class"/>
    <x v="128"/>
    <x v="1"/>
    <s v="Fars"/>
    <s v="Iran"/>
    <s v="EMEA"/>
    <x v="4"/>
    <s v="OFF-BIN-10001715"/>
    <x v="0"/>
    <x v="5"/>
    <x v="680"/>
    <n v="52"/>
    <n v="1"/>
    <x v="1"/>
    <n v="8.76"/>
    <n v="5.29"/>
    <s v="Medium"/>
    <n v="2013"/>
  </r>
  <r>
    <s v="IR-2014-1670"/>
    <x v="522"/>
    <x v="555"/>
    <s v="First Class"/>
    <x v="490"/>
    <x v="2"/>
    <s v="Ardabil"/>
    <s v="Iran"/>
    <s v="EMEA"/>
    <x v="4"/>
    <s v="OFF-CAR-10004661"/>
    <x v="0"/>
    <x v="0"/>
    <x v="681"/>
    <n v="50"/>
    <n v="1"/>
    <x v="1"/>
    <n v="10.5"/>
    <n v="12.23"/>
    <s v="Critical"/>
    <n v="2014"/>
  </r>
  <r>
    <s v="US-2013-161697"/>
    <x v="523"/>
    <x v="570"/>
    <s v="First Class"/>
    <x v="341"/>
    <x v="2"/>
    <s v="Francisco MorazÃ¡n"/>
    <s v="Honduras"/>
    <s v="LATAM"/>
    <x v="2"/>
    <s v="OFF-BI-10004470"/>
    <x v="0"/>
    <x v="0"/>
    <x v="682"/>
    <n v="22"/>
    <n v="7"/>
    <x v="5"/>
    <n v="-6.72"/>
    <n v="7.08"/>
    <s v="Critical"/>
    <n v="2013"/>
  </r>
  <r>
    <s v="MX-2014-160241"/>
    <x v="521"/>
    <x v="342"/>
    <s v="Second Class"/>
    <x v="244"/>
    <x v="1"/>
    <s v="SÃ£o Paulo"/>
    <s v="Brazil"/>
    <s v="LATAM"/>
    <x v="1"/>
    <s v="FUR-BO-10004508"/>
    <x v="1"/>
    <x v="13"/>
    <x v="683"/>
    <n v="576"/>
    <n v="5"/>
    <x v="1"/>
    <n v="242"/>
    <n v="150.88"/>
    <s v="Critical"/>
    <n v="2014"/>
  </r>
  <r>
    <s v="CA-2011-143182"/>
    <x v="491"/>
    <x v="571"/>
    <s v="Standard Class"/>
    <x v="318"/>
    <x v="2"/>
    <s v="Florida"/>
    <s v="United States"/>
    <s v="US"/>
    <x v="1"/>
    <s v="FUR-FU-10004270"/>
    <x v="1"/>
    <x v="2"/>
    <x v="684"/>
    <n v="15"/>
    <n v="1"/>
    <x v="6"/>
    <n v="4.0382999999999996"/>
    <n v="0.62"/>
    <s v="High"/>
    <n v="2011"/>
  </r>
  <r>
    <s v="IN-2014-31321"/>
    <x v="497"/>
    <x v="543"/>
    <s v="Standard Class"/>
    <x v="491"/>
    <x v="0"/>
    <s v="Western Australia"/>
    <s v="Australia"/>
    <s v="APAC"/>
    <x v="9"/>
    <s v="TEC-PH-10000822"/>
    <x v="2"/>
    <x v="9"/>
    <x v="659"/>
    <n v="224"/>
    <n v="2"/>
    <x v="2"/>
    <n v="34.841999999999999"/>
    <n v="21.23"/>
    <s v="Medium"/>
    <n v="2014"/>
  </r>
  <r>
    <s v="MX-2011-140697"/>
    <x v="524"/>
    <x v="572"/>
    <s v="Standard Class"/>
    <x v="492"/>
    <x v="2"/>
    <s v="MÃ©xico"/>
    <s v="Mexico"/>
    <s v="LATAM"/>
    <x v="6"/>
    <s v="OFF-SU-10003739"/>
    <x v="0"/>
    <x v="15"/>
    <x v="474"/>
    <n v="16"/>
    <n v="1"/>
    <x v="1"/>
    <n v="1.76"/>
    <n v="0.89"/>
    <s v="Medium"/>
    <n v="2011"/>
  </r>
  <r>
    <s v="ES-2013-3394564"/>
    <x v="525"/>
    <x v="573"/>
    <s v="Second Class"/>
    <x v="25"/>
    <x v="0"/>
    <s v="England"/>
    <s v="United Kingdom"/>
    <s v="EU"/>
    <x v="6"/>
    <s v="OFF-AR-10001418"/>
    <x v="0"/>
    <x v="5"/>
    <x v="685"/>
    <n v="53"/>
    <n v="2"/>
    <x v="1"/>
    <n v="14.94"/>
    <n v="5.85"/>
    <s v="Medium"/>
    <n v="2013"/>
  </r>
  <r>
    <s v="IN-2014-60175"/>
    <x v="526"/>
    <x v="554"/>
    <s v="Standard Class"/>
    <x v="231"/>
    <x v="1"/>
    <s v="Perak"/>
    <s v="Malaysia"/>
    <s v="APAC"/>
    <x v="0"/>
    <s v="OFF-BI-10004369"/>
    <x v="0"/>
    <x v="0"/>
    <x v="429"/>
    <n v="22"/>
    <n v="3"/>
    <x v="1"/>
    <n v="7.92"/>
    <n v="1.72"/>
    <s v="Medium"/>
    <n v="2014"/>
  </r>
  <r>
    <s v="US-2013-128965"/>
    <x v="525"/>
    <x v="574"/>
    <s v="First Class"/>
    <x v="183"/>
    <x v="2"/>
    <s v="Distrito Federal"/>
    <s v="Mexico"/>
    <s v="LATAM"/>
    <x v="6"/>
    <s v="FUR-TA-10000310"/>
    <x v="1"/>
    <x v="12"/>
    <x v="128"/>
    <n v="168"/>
    <n v="1"/>
    <x v="6"/>
    <n v="-40.015999999999998"/>
    <n v="14.77"/>
    <s v="Medium"/>
    <n v="2013"/>
  </r>
  <r>
    <s v="TU-2014-6570"/>
    <x v="527"/>
    <x v="495"/>
    <s v="Standard Class"/>
    <x v="493"/>
    <x v="1"/>
    <s v="Antalya"/>
    <s v="Turkey"/>
    <s v="EMEA"/>
    <x v="4"/>
    <s v="OFF-ROG-10003300"/>
    <x v="0"/>
    <x v="3"/>
    <x v="648"/>
    <n v="18"/>
    <n v="2"/>
    <x v="3"/>
    <n v="-22.128"/>
    <n v="2.2000000000000002"/>
    <s v="High"/>
    <n v="2014"/>
  </r>
  <r>
    <s v="IN-2013-13387"/>
    <x v="528"/>
    <x v="575"/>
    <s v="First Class"/>
    <x v="166"/>
    <x v="0"/>
    <s v="Andhra Pradesh"/>
    <s v="India"/>
    <s v="APAC"/>
    <x v="3"/>
    <s v="OFF-PA-10003686"/>
    <x v="0"/>
    <x v="7"/>
    <x v="686"/>
    <n v="76"/>
    <n v="3"/>
    <x v="1"/>
    <n v="2.25"/>
    <n v="5.0599999999999996"/>
    <s v="High"/>
    <n v="2013"/>
  </r>
  <r>
    <s v="TU-2011-6180"/>
    <x v="529"/>
    <x v="576"/>
    <s v="Standard Class"/>
    <x v="494"/>
    <x v="2"/>
    <s v="Kirsehir"/>
    <s v="Turkey"/>
    <s v="EMEA"/>
    <x v="4"/>
    <s v="TEC-STA-10002497"/>
    <x v="2"/>
    <x v="10"/>
    <x v="687"/>
    <n v="130"/>
    <n v="2"/>
    <x v="3"/>
    <n v="-142.512"/>
    <n v="4.2"/>
    <s v="Medium"/>
    <n v="2011"/>
  </r>
  <r>
    <s v="ES-2014-2298874"/>
    <x v="530"/>
    <x v="577"/>
    <s v="Second Class"/>
    <x v="495"/>
    <x v="2"/>
    <s v="England"/>
    <s v="United Kingdom"/>
    <s v="EU"/>
    <x v="6"/>
    <s v="TEC-PH-10001732"/>
    <x v="2"/>
    <x v="9"/>
    <x v="83"/>
    <n v="509"/>
    <n v="3"/>
    <x v="1"/>
    <n v="91.62"/>
    <n v="69.56"/>
    <s v="Critical"/>
    <n v="2014"/>
  </r>
  <r>
    <s v="IT-2012-1319120"/>
    <x v="531"/>
    <x v="578"/>
    <s v="Standard Class"/>
    <x v="337"/>
    <x v="2"/>
    <s v="Lombardy"/>
    <s v="Italy"/>
    <s v="EU"/>
    <x v="1"/>
    <s v="TEC-MA-10004933"/>
    <x v="2"/>
    <x v="10"/>
    <x v="81"/>
    <n v="362"/>
    <n v="7"/>
    <x v="5"/>
    <n v="-120.792"/>
    <n v="36.9"/>
    <s v="High"/>
    <n v="2012"/>
  </r>
  <r>
    <s v="IZ-2012-3720"/>
    <x v="532"/>
    <x v="547"/>
    <s v="Standard Class"/>
    <x v="146"/>
    <x v="2"/>
    <s v="Al Basrah"/>
    <s v="Iraq"/>
    <s v="EMEA"/>
    <x v="4"/>
    <s v="TEC-SHA-10001413"/>
    <x v="2"/>
    <x v="14"/>
    <x v="58"/>
    <n v="121"/>
    <n v="1"/>
    <x v="1"/>
    <n v="32.76"/>
    <n v="5.27"/>
    <s v="Medium"/>
    <n v="2012"/>
  </r>
  <r>
    <s v="MO-2014-8700"/>
    <x v="533"/>
    <x v="378"/>
    <s v="First Class"/>
    <x v="330"/>
    <x v="2"/>
    <s v="Grand Casablanca"/>
    <s v="Morocco"/>
    <s v="Africa"/>
    <x v="5"/>
    <s v="OFF-CAR-10004886"/>
    <x v="0"/>
    <x v="0"/>
    <x v="134"/>
    <n v="28"/>
    <n v="2"/>
    <x v="1"/>
    <n v="10.199999999999999"/>
    <n v="3.41"/>
    <s v="Medium"/>
    <n v="2014"/>
  </r>
  <r>
    <s v="IN-2013-60364"/>
    <x v="534"/>
    <x v="579"/>
    <s v="Standard Class"/>
    <x v="308"/>
    <x v="1"/>
    <s v="New South Wales"/>
    <s v="Australia"/>
    <s v="APAC"/>
    <x v="9"/>
    <s v="OFF-ST-10002650"/>
    <x v="0"/>
    <x v="3"/>
    <x v="688"/>
    <n v="743"/>
    <n v="4"/>
    <x v="2"/>
    <n v="181.56"/>
    <n v="13.49"/>
    <s v="Medium"/>
    <n v="2013"/>
  </r>
  <r>
    <s v="CA-2013-142545"/>
    <x v="508"/>
    <x v="580"/>
    <s v="Standard Class"/>
    <x v="133"/>
    <x v="0"/>
    <s v="New Jersey"/>
    <s v="United States"/>
    <s v="US"/>
    <x v="12"/>
    <s v="OFF-BI-10002706"/>
    <x v="0"/>
    <x v="0"/>
    <x v="689"/>
    <n v="14"/>
    <n v="1"/>
    <x v="1"/>
    <n v="6.5688000000000004"/>
    <n v="0.87"/>
    <s v="Medium"/>
    <n v="2013"/>
  </r>
  <r>
    <s v="MX-2013-127880"/>
    <x v="535"/>
    <x v="581"/>
    <s v="Second Class"/>
    <x v="496"/>
    <x v="0"/>
    <s v="Managua"/>
    <s v="Nicaragua"/>
    <s v="LATAM"/>
    <x v="2"/>
    <s v="OFF-EN-10000139"/>
    <x v="0"/>
    <x v="16"/>
    <x v="690"/>
    <n v="47"/>
    <n v="3"/>
    <x v="1"/>
    <n v="7.98"/>
    <n v="4.26"/>
    <s v="Medium"/>
    <n v="2013"/>
  </r>
  <r>
    <s v="IN-2013-59888"/>
    <x v="536"/>
    <x v="582"/>
    <s v="First Class"/>
    <x v="497"/>
    <x v="1"/>
    <s v="Australian Capital Territory"/>
    <s v="Australia"/>
    <s v="APAC"/>
    <x v="9"/>
    <s v="TEC-AC-10002455"/>
    <x v="2"/>
    <x v="11"/>
    <x v="691"/>
    <n v="38"/>
    <n v="2"/>
    <x v="5"/>
    <n v="-5.1479999999999997"/>
    <n v="6.5"/>
    <s v="High"/>
    <n v="2013"/>
  </r>
  <r>
    <s v="US-2011-153017"/>
    <x v="537"/>
    <x v="540"/>
    <s v="Second Class"/>
    <x v="400"/>
    <x v="2"/>
    <s v="Francisco MorazÃ¡n"/>
    <s v="Honduras"/>
    <s v="LATAM"/>
    <x v="2"/>
    <s v="OFF-LA-10001230"/>
    <x v="0"/>
    <x v="4"/>
    <x v="495"/>
    <n v="24"/>
    <n v="7"/>
    <x v="5"/>
    <n v="-8.26"/>
    <n v="2.02"/>
    <s v="Medium"/>
    <n v="2011"/>
  </r>
  <r>
    <s v="ES-2012-5959969"/>
    <x v="538"/>
    <x v="583"/>
    <s v="Standard Class"/>
    <x v="498"/>
    <x v="0"/>
    <s v="Alsace"/>
    <s v="France"/>
    <s v="EU"/>
    <x v="2"/>
    <s v="OFF-AP-10004869"/>
    <x v="0"/>
    <x v="1"/>
    <x v="61"/>
    <n v="225"/>
    <n v="3"/>
    <x v="2"/>
    <n v="75.042000000000002"/>
    <n v="26.44"/>
    <s v="Medium"/>
    <n v="2012"/>
  </r>
  <r>
    <s v="CA-2011-124394"/>
    <x v="539"/>
    <x v="584"/>
    <s v="Second Class"/>
    <x v="149"/>
    <x v="2"/>
    <s v="Texas"/>
    <s v="United States"/>
    <s v="US"/>
    <x v="2"/>
    <s v="TEC-AC-10001314"/>
    <x v="2"/>
    <x v="11"/>
    <x v="692"/>
    <n v="120"/>
    <n v="3"/>
    <x v="6"/>
    <n v="-17.996400000000001"/>
    <n v="10.86"/>
    <s v="Medium"/>
    <n v="2011"/>
  </r>
  <r>
    <s v="CA-2012-158659"/>
    <x v="540"/>
    <x v="585"/>
    <s v="Second Class"/>
    <x v="436"/>
    <x v="0"/>
    <s v="Indiana"/>
    <s v="United States"/>
    <s v="US"/>
    <x v="2"/>
    <s v="OFF-ST-10003306"/>
    <x v="0"/>
    <x v="3"/>
    <x v="693"/>
    <n v="714"/>
    <n v="5"/>
    <x v="1"/>
    <n v="207.14699999999999"/>
    <n v="60.51"/>
    <s v="High"/>
    <n v="2012"/>
  </r>
  <r>
    <s v="CA-2013-154018"/>
    <x v="507"/>
    <x v="574"/>
    <s v="Standard Class"/>
    <x v="499"/>
    <x v="2"/>
    <s v="Texas"/>
    <s v="United States"/>
    <s v="US"/>
    <x v="2"/>
    <s v="OFF-BI-10004140"/>
    <x v="0"/>
    <x v="0"/>
    <x v="53"/>
    <n v="6"/>
    <n v="7"/>
    <x v="15"/>
    <n v="-11.000500000000001"/>
    <n v="0.35"/>
    <s v="Low"/>
    <n v="2013"/>
  </r>
  <r>
    <s v="IT-2011-2600640"/>
    <x v="541"/>
    <x v="586"/>
    <s v="Standard Class"/>
    <x v="192"/>
    <x v="2"/>
    <s v="Berlin"/>
    <s v="Germany"/>
    <s v="EU"/>
    <x v="2"/>
    <s v="OFF-BI-10000972"/>
    <x v="0"/>
    <x v="0"/>
    <x v="694"/>
    <n v="27"/>
    <n v="1"/>
    <x v="2"/>
    <n v="2.6880000000000002"/>
    <n v="1.17"/>
    <s v="Medium"/>
    <n v="2011"/>
  </r>
  <r>
    <s v="CA-2012-114300"/>
    <x v="542"/>
    <x v="538"/>
    <s v="Standard Class"/>
    <x v="382"/>
    <x v="2"/>
    <s v="Kentucky"/>
    <s v="United States"/>
    <s v="US"/>
    <x v="1"/>
    <s v="TEC-PH-10001552"/>
    <x v="2"/>
    <x v="9"/>
    <x v="695"/>
    <n v="84"/>
    <n v="7"/>
    <x v="1"/>
    <n v="23.441600000000001"/>
    <n v="4.3099999999999996"/>
    <s v="Medium"/>
    <n v="2012"/>
  </r>
  <r>
    <s v="US-2011-112991"/>
    <x v="543"/>
    <x v="506"/>
    <s v="Standard Class"/>
    <x v="20"/>
    <x v="0"/>
    <s v="Idaho"/>
    <s v="United States"/>
    <s v="US"/>
    <x v="7"/>
    <s v="OFF-PA-10000019"/>
    <x v="0"/>
    <x v="7"/>
    <x v="696"/>
    <n v="26"/>
    <n v="4"/>
    <x v="1"/>
    <n v="12.441599999999999"/>
    <n v="1.47"/>
    <s v="Medium"/>
    <n v="2011"/>
  </r>
  <r>
    <s v="CA-2013-125815"/>
    <x v="508"/>
    <x v="556"/>
    <s v="Second Class"/>
    <x v="349"/>
    <x v="2"/>
    <s v="New York"/>
    <s v="United States"/>
    <s v="US"/>
    <x v="12"/>
    <s v="OFF-AR-10004441"/>
    <x v="0"/>
    <x v="5"/>
    <x v="697"/>
    <n v="12"/>
    <n v="3"/>
    <x v="1"/>
    <n v="5.2164000000000001"/>
    <n v="1.66"/>
    <s v="High"/>
    <n v="2013"/>
  </r>
  <r>
    <s v="CA-2011-113383"/>
    <x v="520"/>
    <x v="420"/>
    <s v="First Class"/>
    <x v="192"/>
    <x v="2"/>
    <s v="New Jersey"/>
    <s v="United States"/>
    <s v="US"/>
    <x v="12"/>
    <s v="FUR-FU-10001986"/>
    <x v="1"/>
    <x v="2"/>
    <x v="698"/>
    <n v="255"/>
    <n v="5"/>
    <x v="1"/>
    <n v="76.47"/>
    <n v="39.53"/>
    <s v="High"/>
    <n v="2011"/>
  </r>
  <r>
    <s v="IT-2013-4191455"/>
    <x v="544"/>
    <x v="390"/>
    <s v="Standard Class"/>
    <x v="398"/>
    <x v="2"/>
    <s v="Lazio"/>
    <s v="Italy"/>
    <s v="EU"/>
    <x v="1"/>
    <s v="FUR-CH-10001582"/>
    <x v="1"/>
    <x v="8"/>
    <x v="699"/>
    <n v="561"/>
    <n v="3"/>
    <x v="3"/>
    <n v="-743.274"/>
    <n v="89.55"/>
    <s v="High"/>
    <n v="2013"/>
  </r>
  <r>
    <s v="CA-2013-138478"/>
    <x v="495"/>
    <x v="541"/>
    <s v="Second Class"/>
    <x v="500"/>
    <x v="1"/>
    <s v="Nevada"/>
    <s v="United States"/>
    <s v="US"/>
    <x v="7"/>
    <s v="OFF-AR-10002240"/>
    <x v="0"/>
    <x v="5"/>
    <x v="700"/>
    <n v="113"/>
    <n v="3"/>
    <x v="1"/>
    <n v="29.437200000000001"/>
    <n v="13.66"/>
    <s v="Medium"/>
    <n v="2013"/>
  </r>
  <r>
    <s v="MO-2011-3300"/>
    <x v="545"/>
    <x v="587"/>
    <s v="Standard Class"/>
    <x v="107"/>
    <x v="2"/>
    <s v="Doukkala-Abda"/>
    <s v="Morocco"/>
    <s v="Africa"/>
    <x v="5"/>
    <s v="FUR-TEN-10000525"/>
    <x v="1"/>
    <x v="2"/>
    <x v="701"/>
    <n v="302"/>
    <n v="6"/>
    <x v="1"/>
    <n v="75.239999999999995"/>
    <n v="17.63"/>
    <s v="Medium"/>
    <n v="2011"/>
  </r>
  <r>
    <s v="ES-2012-2287053"/>
    <x v="546"/>
    <x v="299"/>
    <s v="First Class"/>
    <x v="501"/>
    <x v="2"/>
    <s v="Stockholm"/>
    <s v="Sweden"/>
    <s v="EU"/>
    <x v="6"/>
    <s v="OFF-AP-10004201"/>
    <x v="0"/>
    <x v="1"/>
    <x v="263"/>
    <n v="1294"/>
    <n v="5"/>
    <x v="4"/>
    <n v="-776.32500000000005"/>
    <n v="274.58"/>
    <s v="Critical"/>
    <n v="2012"/>
  </r>
  <r>
    <s v="MX-2013-154144"/>
    <x v="547"/>
    <x v="9"/>
    <s v="Standard Class"/>
    <x v="502"/>
    <x v="2"/>
    <s v="Amazonas"/>
    <s v="Brazil"/>
    <s v="LATAM"/>
    <x v="1"/>
    <s v="OFF-PA-10001495"/>
    <x v="0"/>
    <x v="7"/>
    <x v="702"/>
    <n v="35"/>
    <n v="4"/>
    <x v="1"/>
    <n v="2.08"/>
    <n v="4.5599999999999996"/>
    <s v="High"/>
    <n v="2013"/>
  </r>
  <r>
    <s v="CA-2014-130211"/>
    <x v="522"/>
    <x v="588"/>
    <s v="Same Day"/>
    <x v="503"/>
    <x v="2"/>
    <s v="Oklahoma"/>
    <s v="United States"/>
    <s v="US"/>
    <x v="2"/>
    <s v="OFF-ST-10000129"/>
    <x v="0"/>
    <x v="3"/>
    <x v="703"/>
    <n v="333"/>
    <n v="3"/>
    <x v="1"/>
    <n v="23.316299999999998"/>
    <n v="58.9"/>
    <s v="High"/>
    <n v="2014"/>
  </r>
  <r>
    <s v="US-2013-143644"/>
    <x v="510"/>
    <x v="580"/>
    <s v="Standard Class"/>
    <x v="408"/>
    <x v="2"/>
    <s v="CortÃ©s"/>
    <s v="Honduras"/>
    <s v="LATAM"/>
    <x v="2"/>
    <s v="OFF-PA-10004421"/>
    <x v="0"/>
    <x v="7"/>
    <x v="704"/>
    <n v="20"/>
    <n v="3"/>
    <x v="5"/>
    <n v="-0.69599999999999995"/>
    <n v="1.55"/>
    <s v="High"/>
    <n v="2013"/>
  </r>
  <r>
    <s v="US-2012-168732"/>
    <x v="506"/>
    <x v="562"/>
    <s v="Standard Class"/>
    <x v="433"/>
    <x v="2"/>
    <s v="Georgia"/>
    <s v="United States"/>
    <s v="US"/>
    <x v="1"/>
    <s v="OFF-PA-10000520"/>
    <x v="0"/>
    <x v="7"/>
    <x v="94"/>
    <n v="26"/>
    <n v="4"/>
    <x v="1"/>
    <n v="12.441599999999999"/>
    <n v="2.04"/>
    <s v="Medium"/>
    <n v="2012"/>
  </r>
  <r>
    <s v="MA-2014-6360"/>
    <x v="533"/>
    <x v="378"/>
    <s v="Second Class"/>
    <x v="278"/>
    <x v="2"/>
    <s v="Analamanga"/>
    <s v="Madagascar"/>
    <s v="Africa"/>
    <x v="5"/>
    <s v="TEC-LOG-10001871"/>
    <x v="2"/>
    <x v="11"/>
    <x v="76"/>
    <n v="495"/>
    <n v="2"/>
    <x v="1"/>
    <n v="59.4"/>
    <n v="27.28"/>
    <s v="Medium"/>
    <n v="2014"/>
  </r>
  <r>
    <s v="ID-2013-62352"/>
    <x v="523"/>
    <x v="556"/>
    <s v="Standard Class"/>
    <x v="460"/>
    <x v="2"/>
    <s v="Hubei"/>
    <s v="China"/>
    <s v="APAC"/>
    <x v="8"/>
    <s v="OFF-LA-10003381"/>
    <x v="0"/>
    <x v="4"/>
    <x v="705"/>
    <n v="29"/>
    <n v="3"/>
    <x v="1"/>
    <n v="14.49"/>
    <n v="2.29"/>
    <s v="Medium"/>
    <n v="2013"/>
  </r>
  <r>
    <s v="IN-2011-25588"/>
    <x v="543"/>
    <x v="589"/>
    <s v="Standard Class"/>
    <x v="107"/>
    <x v="2"/>
    <s v="Dhaka"/>
    <s v="Bangladesh"/>
    <s v="APAC"/>
    <x v="3"/>
    <s v="OFF-AR-10001823"/>
    <x v="0"/>
    <x v="5"/>
    <x v="425"/>
    <n v="133"/>
    <n v="7"/>
    <x v="1"/>
    <n v="66.150000000000006"/>
    <n v="11.54"/>
    <s v="Medium"/>
    <n v="2011"/>
  </r>
  <r>
    <s v="CA-2011-145387"/>
    <x v="548"/>
    <x v="576"/>
    <s v="Second Class"/>
    <x v="397"/>
    <x v="2"/>
    <s v="Rhode Island"/>
    <s v="United States"/>
    <s v="US"/>
    <x v="12"/>
    <s v="FUR-CH-10002320"/>
    <x v="1"/>
    <x v="8"/>
    <x v="706"/>
    <n v="1605"/>
    <n v="5"/>
    <x v="1"/>
    <n v="481.47"/>
    <n v="289.82"/>
    <s v="Medium"/>
    <n v="2011"/>
  </r>
  <r>
    <s v="IN-2014-69527"/>
    <x v="519"/>
    <x v="590"/>
    <s v="First Class"/>
    <x v="140"/>
    <x v="0"/>
    <s v="Rajasthan"/>
    <s v="India"/>
    <s v="APAC"/>
    <x v="3"/>
    <s v="FUR-CH-10002631"/>
    <x v="1"/>
    <x v="8"/>
    <x v="707"/>
    <n v="106"/>
    <n v="2"/>
    <x v="1"/>
    <n v="9.5399999999999991"/>
    <n v="5.0199999999999996"/>
    <s v="Medium"/>
    <n v="2014"/>
  </r>
  <r>
    <s v="ES-2013-4851162"/>
    <x v="549"/>
    <x v="591"/>
    <s v="Second Class"/>
    <x v="216"/>
    <x v="2"/>
    <s v="Lorraine"/>
    <s v="France"/>
    <s v="EU"/>
    <x v="2"/>
    <s v="OFF-AR-10001720"/>
    <x v="0"/>
    <x v="5"/>
    <x v="708"/>
    <n v="49"/>
    <n v="1"/>
    <x v="1"/>
    <n v="7.89"/>
    <n v="5.96"/>
    <s v="High"/>
    <n v="2013"/>
  </r>
  <r>
    <s v="IN-2014-42801"/>
    <x v="550"/>
    <x v="592"/>
    <s v="Standard Class"/>
    <x v="98"/>
    <x v="0"/>
    <s v="Telangana"/>
    <s v="India"/>
    <s v="APAC"/>
    <x v="3"/>
    <s v="TEC-AC-10000269"/>
    <x v="2"/>
    <x v="11"/>
    <x v="560"/>
    <n v="172"/>
    <n v="4"/>
    <x v="1"/>
    <n v="27.48"/>
    <n v="18.420000000000002"/>
    <s v="Medium"/>
    <n v="2014"/>
  </r>
  <r>
    <s v="IT-2014-5637241"/>
    <x v="551"/>
    <x v="593"/>
    <s v="Standard Class"/>
    <x v="445"/>
    <x v="2"/>
    <s v="Galicia"/>
    <s v="Spain"/>
    <s v="EU"/>
    <x v="1"/>
    <s v="OFF-BI-10000115"/>
    <x v="0"/>
    <x v="0"/>
    <x v="709"/>
    <n v="18"/>
    <n v="3"/>
    <x v="1"/>
    <n v="0.72"/>
    <n v="1.36"/>
    <s v="Medium"/>
    <n v="2014"/>
  </r>
  <r>
    <s v="ES-2014-1848240"/>
    <x v="552"/>
    <x v="594"/>
    <s v="First Class"/>
    <x v="280"/>
    <x v="0"/>
    <s v="Vienna"/>
    <s v="Austria"/>
    <s v="EU"/>
    <x v="2"/>
    <s v="TEC-MA-10003079"/>
    <x v="2"/>
    <x v="10"/>
    <x v="710"/>
    <n v="174"/>
    <n v="1"/>
    <x v="1"/>
    <n v="24.33"/>
    <n v="25.43"/>
    <s v="Medium"/>
    <n v="2014"/>
  </r>
  <r>
    <s v="AG-2012-4910"/>
    <x v="553"/>
    <x v="595"/>
    <s v="Standard Class"/>
    <x v="504"/>
    <x v="1"/>
    <s v="Alger"/>
    <s v="Algeria"/>
    <s v="Africa"/>
    <x v="5"/>
    <s v="OFF-TEN-10000894"/>
    <x v="0"/>
    <x v="3"/>
    <x v="261"/>
    <n v="47"/>
    <n v="2"/>
    <x v="1"/>
    <n v="9.7200000000000006"/>
    <n v="2.4700000000000002"/>
    <s v="Medium"/>
    <n v="2012"/>
  </r>
  <r>
    <s v="ES-2013-4020783"/>
    <x v="554"/>
    <x v="596"/>
    <s v="Second Class"/>
    <x v="67"/>
    <x v="1"/>
    <s v="Castile-La Mancha"/>
    <s v="Spain"/>
    <s v="EU"/>
    <x v="1"/>
    <s v="OFF-AR-10001228"/>
    <x v="0"/>
    <x v="5"/>
    <x v="173"/>
    <n v="76"/>
    <n v="3"/>
    <x v="1"/>
    <n v="25.11"/>
    <n v="4.4800000000000004"/>
    <s v="Medium"/>
    <n v="2013"/>
  </r>
  <r>
    <s v="CA-2012-200"/>
    <x v="555"/>
    <x v="597"/>
    <s v="Standard Class"/>
    <x v="158"/>
    <x v="2"/>
    <s v="Ontario"/>
    <s v="Canada"/>
    <s v="Canada"/>
    <x v="10"/>
    <s v="OFF-BIC-10002722"/>
    <x v="0"/>
    <x v="5"/>
    <x v="711"/>
    <n v="17"/>
    <n v="1"/>
    <x v="1"/>
    <n v="7.14"/>
    <n v="3.5"/>
    <s v="High"/>
    <n v="2012"/>
  </r>
  <r>
    <s v="MX-2012-140018"/>
    <x v="556"/>
    <x v="598"/>
    <s v="Second Class"/>
    <x v="273"/>
    <x v="2"/>
    <s v="MÃ©xico"/>
    <s v="Mexico"/>
    <s v="LATAM"/>
    <x v="6"/>
    <s v="OFF-ST-10000557"/>
    <x v="0"/>
    <x v="3"/>
    <x v="712"/>
    <n v="33"/>
    <n v="3"/>
    <x v="1"/>
    <n v="3.6"/>
    <n v="2.57"/>
    <s v="High"/>
    <n v="2012"/>
  </r>
  <r>
    <s v="ID-2014-19813"/>
    <x v="557"/>
    <x v="599"/>
    <s v="First Class"/>
    <x v="114"/>
    <x v="2"/>
    <s v="Queensland"/>
    <s v="Australia"/>
    <s v="APAC"/>
    <x v="9"/>
    <s v="TEC-AC-10002335"/>
    <x v="2"/>
    <x v="11"/>
    <x v="713"/>
    <n v="207"/>
    <n v="2"/>
    <x v="2"/>
    <n v="-16.103999999999999"/>
    <n v="49.1"/>
    <s v="High"/>
    <n v="2014"/>
  </r>
  <r>
    <s v="RO-2014-6420"/>
    <x v="550"/>
    <x v="512"/>
    <s v="Standard Class"/>
    <x v="12"/>
    <x v="1"/>
    <s v="Constanta"/>
    <s v="Romania"/>
    <s v="EMEA"/>
    <x v="4"/>
    <s v="OFF-FEL-10004665"/>
    <x v="0"/>
    <x v="3"/>
    <x v="66"/>
    <n v="829"/>
    <n v="4"/>
    <x v="1"/>
    <n v="215.52"/>
    <n v="83.89"/>
    <s v="Medium"/>
    <n v="2014"/>
  </r>
  <r>
    <s v="CA-2012-490"/>
    <x v="558"/>
    <x v="600"/>
    <s v="Standard Class"/>
    <x v="505"/>
    <x v="2"/>
    <s v="Quebec"/>
    <s v="Canada"/>
    <s v="Canada"/>
    <x v="10"/>
    <s v="OFF-STO-10003605"/>
    <x v="0"/>
    <x v="6"/>
    <x v="714"/>
    <n v="13"/>
    <n v="1"/>
    <x v="1"/>
    <n v="0.36"/>
    <n v="0.15"/>
    <s v="Medium"/>
    <n v="2012"/>
  </r>
  <r>
    <s v="US-2014-136679"/>
    <x v="559"/>
    <x v="601"/>
    <s v="Standard Class"/>
    <x v="22"/>
    <x v="2"/>
    <s v="Texas"/>
    <s v="United States"/>
    <s v="US"/>
    <x v="2"/>
    <s v="TEC-AC-10004855"/>
    <x v="2"/>
    <x v="11"/>
    <x v="715"/>
    <n v="168"/>
    <n v="6"/>
    <x v="6"/>
    <n v="-27.292200000000001"/>
    <n v="8.83"/>
    <s v="Medium"/>
    <n v="2014"/>
  </r>
  <r>
    <s v="CA-2011-119151"/>
    <x v="560"/>
    <x v="602"/>
    <s v="Second Class"/>
    <x v="441"/>
    <x v="1"/>
    <s v="New York"/>
    <s v="United States"/>
    <s v="US"/>
    <x v="12"/>
    <s v="OFF-ST-10003470"/>
    <x v="0"/>
    <x v="3"/>
    <x v="716"/>
    <n v="1118"/>
    <n v="4"/>
    <x v="1"/>
    <n v="55.896000000000001"/>
    <n v="105.31"/>
    <s v="High"/>
    <n v="2011"/>
  </r>
  <r>
    <s v="US-2014-109967"/>
    <x v="561"/>
    <x v="603"/>
    <s v="Standard Class"/>
    <x v="342"/>
    <x v="1"/>
    <s v="Santa Catarina"/>
    <s v="Brazil"/>
    <s v="LATAM"/>
    <x v="1"/>
    <s v="FUR-FU-10003725"/>
    <x v="1"/>
    <x v="2"/>
    <x v="717"/>
    <n v="15"/>
    <n v="3"/>
    <x v="3"/>
    <n v="-22.428000000000001"/>
    <n v="1.25"/>
    <s v="Medium"/>
    <n v="2014"/>
  </r>
  <r>
    <s v="IT-2014-1003060"/>
    <x v="562"/>
    <x v="603"/>
    <s v="Standard Class"/>
    <x v="506"/>
    <x v="2"/>
    <s v="North Holland"/>
    <s v="Netherlands"/>
    <s v="EU"/>
    <x v="2"/>
    <s v="OFF-AR-10001898"/>
    <x v="0"/>
    <x v="5"/>
    <x v="718"/>
    <n v="27"/>
    <n v="2"/>
    <x v="4"/>
    <n v="-24.57"/>
    <n v="1.76"/>
    <s v="Medium"/>
    <n v="2014"/>
  </r>
  <r>
    <s v="ID-2013-85347"/>
    <x v="563"/>
    <x v="604"/>
    <s v="Standard Class"/>
    <x v="75"/>
    <x v="0"/>
    <s v="Queensland"/>
    <s v="Australia"/>
    <s v="APAC"/>
    <x v="9"/>
    <s v="OFF-FA-10002444"/>
    <x v="0"/>
    <x v="6"/>
    <x v="719"/>
    <n v="11"/>
    <n v="1"/>
    <x v="5"/>
    <n v="-5.9939999999999998"/>
    <n v="0.8"/>
    <s v="Medium"/>
    <n v="2013"/>
  </r>
  <r>
    <s v="ES-2013-4858481"/>
    <x v="564"/>
    <x v="552"/>
    <s v="Standard Class"/>
    <x v="262"/>
    <x v="0"/>
    <s v="North Rhine-Westphalia"/>
    <s v="Germany"/>
    <s v="EU"/>
    <x v="2"/>
    <s v="FUR-FU-10002557"/>
    <x v="1"/>
    <x v="2"/>
    <x v="3"/>
    <n v="67"/>
    <n v="3"/>
    <x v="1"/>
    <n v="0"/>
    <n v="6.42"/>
    <s v="Medium"/>
    <n v="2013"/>
  </r>
  <r>
    <s v="ID-2014-56339"/>
    <x v="565"/>
    <x v="605"/>
    <s v="Standard Class"/>
    <x v="507"/>
    <x v="1"/>
    <s v="Jakarta"/>
    <s v="Indonesia"/>
    <s v="APAC"/>
    <x v="0"/>
    <s v="FUR-FU-10002933"/>
    <x v="1"/>
    <x v="2"/>
    <x v="720"/>
    <n v="239"/>
    <n v="14"/>
    <x v="17"/>
    <n v="-39.311999999999998"/>
    <n v="35.049999999999997"/>
    <s v="Low"/>
    <n v="2014"/>
  </r>
  <r>
    <s v="IR-2014-1860"/>
    <x v="562"/>
    <x v="605"/>
    <s v="Standard Class"/>
    <x v="18"/>
    <x v="1"/>
    <s v="Khuzestan"/>
    <s v="Iran"/>
    <s v="EMEA"/>
    <x v="4"/>
    <s v="FUR-SAF-10000565"/>
    <x v="1"/>
    <x v="8"/>
    <x v="721"/>
    <n v="52"/>
    <n v="1"/>
    <x v="1"/>
    <n v="9.33"/>
    <n v="7.08"/>
    <s v="High"/>
    <n v="2014"/>
  </r>
  <r>
    <s v="CA-2014-149160"/>
    <x v="551"/>
    <x v="606"/>
    <s v="Second Class"/>
    <x v="404"/>
    <x v="0"/>
    <s v="Michigan"/>
    <s v="United States"/>
    <s v="US"/>
    <x v="2"/>
    <s v="FUR-FU-10003347"/>
    <x v="1"/>
    <x v="2"/>
    <x v="722"/>
    <n v="28"/>
    <n v="2"/>
    <x v="1"/>
    <n v="11.076000000000001"/>
    <n v="0.9"/>
    <s v="Medium"/>
    <n v="2014"/>
  </r>
  <r>
    <s v="MX-2012-127446"/>
    <x v="566"/>
    <x v="402"/>
    <s v="Same Day"/>
    <x v="508"/>
    <x v="0"/>
    <s v="San Salvador"/>
    <s v="El Salvador"/>
    <s v="LATAM"/>
    <x v="2"/>
    <s v="OFF-AR-10001659"/>
    <x v="0"/>
    <x v="5"/>
    <x v="723"/>
    <n v="53"/>
    <n v="3"/>
    <x v="1"/>
    <n v="13.68"/>
    <n v="17.100000000000001"/>
    <s v="Critical"/>
    <n v="2012"/>
  </r>
  <r>
    <s v="EG-2011-7790"/>
    <x v="567"/>
    <x v="607"/>
    <s v="Standard Class"/>
    <x v="509"/>
    <x v="0"/>
    <s v="Al Minya"/>
    <s v="Egypt"/>
    <s v="Africa"/>
    <x v="5"/>
    <s v="OFF-KRA-10000492"/>
    <x v="0"/>
    <x v="16"/>
    <x v="724"/>
    <n v="25"/>
    <n v="1"/>
    <x v="1"/>
    <n v="4.53"/>
    <n v="4.07"/>
    <s v="High"/>
    <n v="2011"/>
  </r>
  <r>
    <s v="IT-2012-2157465"/>
    <x v="568"/>
    <x v="608"/>
    <s v="Standard Class"/>
    <x v="211"/>
    <x v="1"/>
    <s v="Ile-de-France"/>
    <s v="France"/>
    <s v="EU"/>
    <x v="2"/>
    <s v="FUR-BO-10004547"/>
    <x v="1"/>
    <x v="13"/>
    <x v="725"/>
    <n v="443"/>
    <n v="4"/>
    <x v="2"/>
    <n v="73.691999999999993"/>
    <n v="46.55"/>
    <s v="High"/>
    <n v="2012"/>
  </r>
  <r>
    <s v="RS-2014-9190"/>
    <x v="569"/>
    <x v="609"/>
    <s v="Standard Class"/>
    <x v="422"/>
    <x v="1"/>
    <s v="Irkutsk"/>
    <s v="Russia"/>
    <s v="EMEA"/>
    <x v="4"/>
    <s v="TEC-HP -10004451"/>
    <x v="2"/>
    <x v="14"/>
    <x v="726"/>
    <n v="129"/>
    <n v="1"/>
    <x v="1"/>
    <n v="25.74"/>
    <n v="15.5"/>
    <s v="High"/>
    <n v="2014"/>
  </r>
  <r>
    <s v="PL-2014-6080"/>
    <x v="557"/>
    <x v="610"/>
    <s v="Standard Class"/>
    <x v="297"/>
    <x v="1"/>
    <s v="Masovia"/>
    <s v="Poland"/>
    <s v="EMEA"/>
    <x v="4"/>
    <s v="FUR-OFF-10004495"/>
    <x v="1"/>
    <x v="8"/>
    <x v="727"/>
    <n v="172"/>
    <n v="1"/>
    <x v="1"/>
    <n v="58.29"/>
    <n v="17.649999999999999"/>
    <s v="High"/>
    <n v="2014"/>
  </r>
  <r>
    <s v="IN-2011-22368"/>
    <x v="570"/>
    <x v="611"/>
    <s v="Standard Class"/>
    <x v="510"/>
    <x v="2"/>
    <s v="Jharkhand"/>
    <s v="India"/>
    <s v="APAC"/>
    <x v="3"/>
    <s v="OFF-LA-10004114"/>
    <x v="0"/>
    <x v="4"/>
    <x v="728"/>
    <n v="9"/>
    <n v="1"/>
    <x v="1"/>
    <n v="2.58"/>
    <n v="0.71"/>
    <s v="Low"/>
    <n v="2011"/>
  </r>
  <r>
    <s v="EG-2014-9390"/>
    <x v="571"/>
    <x v="612"/>
    <s v="First Class"/>
    <x v="201"/>
    <x v="2"/>
    <s v="Al Qahirah"/>
    <s v="Egypt"/>
    <s v="Africa"/>
    <x v="5"/>
    <s v="OFF-KLE-10004581"/>
    <x v="0"/>
    <x v="15"/>
    <x v="729"/>
    <n v="172"/>
    <n v="4"/>
    <x v="1"/>
    <n v="41.28"/>
    <n v="43.57"/>
    <s v="Critical"/>
    <n v="2014"/>
  </r>
  <r>
    <s v="ID-2014-35038"/>
    <x v="551"/>
    <x v="613"/>
    <s v="Standard Class"/>
    <x v="511"/>
    <x v="2"/>
    <s v="Ho ChÃ­ Minh City"/>
    <s v="Vietnam"/>
    <s v="APAC"/>
    <x v="0"/>
    <s v="FUR-BO-10001934"/>
    <x v="1"/>
    <x v="13"/>
    <x v="49"/>
    <n v="458"/>
    <n v="2"/>
    <x v="20"/>
    <n v="-210.99719999999999"/>
    <n v="33.46"/>
    <s v="Medium"/>
    <n v="2014"/>
  </r>
  <r>
    <s v="CA-2013-4830"/>
    <x v="572"/>
    <x v="614"/>
    <s v="Standard Class"/>
    <x v="393"/>
    <x v="2"/>
    <s v="Alberta"/>
    <s v="Canada"/>
    <s v="Canada"/>
    <x v="10"/>
    <s v="OFF-ACC-10000808"/>
    <x v="0"/>
    <x v="0"/>
    <x v="694"/>
    <n v="60"/>
    <n v="2"/>
    <x v="1"/>
    <n v="11.4"/>
    <n v="4.16"/>
    <s v="Medium"/>
    <n v="2013"/>
  </r>
  <r>
    <s v="CA-2013-131065"/>
    <x v="573"/>
    <x v="615"/>
    <s v="Second Class"/>
    <x v="512"/>
    <x v="2"/>
    <s v="Georgia"/>
    <s v="United States"/>
    <s v="US"/>
    <x v="1"/>
    <s v="OFF-PA-10002479"/>
    <x v="0"/>
    <x v="7"/>
    <x v="564"/>
    <n v="5"/>
    <n v="1"/>
    <x v="1"/>
    <n v="2.3759999999999999"/>
    <n v="1.75"/>
    <s v="Critical"/>
    <n v="2013"/>
  </r>
  <r>
    <s v="IN-2014-17384"/>
    <x v="574"/>
    <x v="606"/>
    <s v="First Class"/>
    <x v="429"/>
    <x v="2"/>
    <s v="Shaanxi"/>
    <s v="China"/>
    <s v="APAC"/>
    <x v="8"/>
    <s v="FUR-CH-10003354"/>
    <x v="1"/>
    <x v="8"/>
    <x v="455"/>
    <n v="305"/>
    <n v="7"/>
    <x v="1"/>
    <n v="2.94"/>
    <n v="76.05"/>
    <s v="Critical"/>
    <n v="2014"/>
  </r>
  <r>
    <s v="IN-2012-10041"/>
    <x v="575"/>
    <x v="616"/>
    <s v="Second Class"/>
    <x v="388"/>
    <x v="1"/>
    <s v="New South Wales"/>
    <s v="Australia"/>
    <s v="APAC"/>
    <x v="9"/>
    <s v="OFF-BI-10002562"/>
    <x v="0"/>
    <x v="0"/>
    <x v="110"/>
    <n v="95"/>
    <n v="2"/>
    <x v="2"/>
    <n v="32.795999999999999"/>
    <n v="14.98"/>
    <s v="Critical"/>
    <n v="2012"/>
  </r>
  <r>
    <s v="MX-2012-154179"/>
    <x v="576"/>
    <x v="562"/>
    <s v="Standard Class"/>
    <x v="282"/>
    <x v="0"/>
    <s v="SÃ£o Paulo"/>
    <s v="Brazil"/>
    <s v="LATAM"/>
    <x v="1"/>
    <s v="FUR-CH-10003107"/>
    <x v="1"/>
    <x v="8"/>
    <x v="730"/>
    <n v="348"/>
    <n v="3"/>
    <x v="1"/>
    <n v="97.38"/>
    <n v="28.1"/>
    <s v="Medium"/>
    <n v="2012"/>
  </r>
  <r>
    <s v="CA-2011-127558"/>
    <x v="577"/>
    <x v="617"/>
    <s v="First Class"/>
    <x v="513"/>
    <x v="2"/>
    <s v="California"/>
    <s v="United States"/>
    <s v="US"/>
    <x v="7"/>
    <s v="FUR-FU-10002505"/>
    <x v="1"/>
    <x v="2"/>
    <x v="731"/>
    <n v="10"/>
    <n v="3"/>
    <x v="1"/>
    <n v="3.2351999999999999"/>
    <n v="1.3"/>
    <s v="Medium"/>
    <n v="2011"/>
  </r>
  <r>
    <s v="MX-2013-101658"/>
    <x v="578"/>
    <x v="618"/>
    <s v="Standard Class"/>
    <x v="16"/>
    <x v="2"/>
    <s v="Pinar del RÃ­o"/>
    <s v="Cuba"/>
    <s v="LATAM"/>
    <x v="11"/>
    <s v="OFF-BI-10004470"/>
    <x v="0"/>
    <x v="0"/>
    <x v="682"/>
    <n v="16"/>
    <n v="3"/>
    <x v="1"/>
    <n v="3.48"/>
    <n v="1.5"/>
    <s v="Medium"/>
    <n v="2013"/>
  </r>
  <r>
    <s v="IT-2014-4709866"/>
    <x v="579"/>
    <x v="446"/>
    <s v="Standard Class"/>
    <x v="514"/>
    <x v="2"/>
    <s v="Stockholm"/>
    <s v="Sweden"/>
    <s v="EU"/>
    <x v="6"/>
    <s v="OFF-BI-10002570"/>
    <x v="0"/>
    <x v="0"/>
    <x v="732"/>
    <n v="32"/>
    <n v="5"/>
    <x v="4"/>
    <n v="-4.5"/>
    <n v="3.29"/>
    <s v="Medium"/>
    <n v="2014"/>
  </r>
  <r>
    <s v="ID-2014-86873"/>
    <x v="561"/>
    <x v="619"/>
    <s v="First Class"/>
    <x v="515"/>
    <x v="2"/>
    <s v="Queensland"/>
    <s v="Australia"/>
    <s v="APAC"/>
    <x v="9"/>
    <s v="TEC-MA-10002910"/>
    <x v="2"/>
    <x v="10"/>
    <x v="733"/>
    <n v="1113"/>
    <n v="6"/>
    <x v="5"/>
    <n v="-705.096"/>
    <n v="196.55"/>
    <s v="Critical"/>
    <n v="2014"/>
  </r>
  <r>
    <s v="CA-2014-161459"/>
    <x v="574"/>
    <x v="613"/>
    <s v="Second Class"/>
    <x v="63"/>
    <x v="0"/>
    <s v="California"/>
    <s v="United States"/>
    <s v="US"/>
    <x v="7"/>
    <s v="TEC-PH-10004071"/>
    <x v="2"/>
    <x v="9"/>
    <x v="734"/>
    <n v="40"/>
    <n v="5"/>
    <x v="6"/>
    <n v="3.4965000000000002"/>
    <n v="3.06"/>
    <s v="Medium"/>
    <n v="2014"/>
  </r>
  <r>
    <s v="US-2013-152800"/>
    <x v="573"/>
    <x v="614"/>
    <s v="Second Class"/>
    <x v="516"/>
    <x v="1"/>
    <s v="La Romana"/>
    <s v="Dominican Republic"/>
    <s v="LATAM"/>
    <x v="11"/>
    <s v="OFF-LA-10002868"/>
    <x v="0"/>
    <x v="4"/>
    <x v="735"/>
    <n v="16"/>
    <n v="3"/>
    <x v="6"/>
    <n v="-1.284"/>
    <n v="0.69"/>
    <s v="Medium"/>
    <n v="2013"/>
  </r>
  <r>
    <s v="MX-2014-133298"/>
    <x v="580"/>
    <x v="620"/>
    <s v="Standard Class"/>
    <x v="105"/>
    <x v="1"/>
    <s v="Jalisco"/>
    <s v="Mexico"/>
    <s v="LATAM"/>
    <x v="6"/>
    <s v="OFF-BI-10002483"/>
    <x v="0"/>
    <x v="0"/>
    <x v="736"/>
    <n v="13"/>
    <n v="4"/>
    <x v="1"/>
    <n v="2.88"/>
    <n v="1.1499999999999999"/>
    <s v="Medium"/>
    <n v="2014"/>
  </r>
  <r>
    <s v="TU-2014-6200"/>
    <x v="581"/>
    <x v="621"/>
    <s v="Standard Class"/>
    <x v="265"/>
    <x v="2"/>
    <s v="Ankara"/>
    <s v="Turkey"/>
    <s v="EMEA"/>
    <x v="4"/>
    <s v="TEC-EPS-10001129"/>
    <x v="2"/>
    <x v="10"/>
    <x v="737"/>
    <n v="122"/>
    <n v="1"/>
    <x v="3"/>
    <n v="-97.721999999999994"/>
    <n v="6.98"/>
    <s v="Medium"/>
    <n v="2014"/>
  </r>
  <r>
    <s v="IN-2012-71088"/>
    <x v="582"/>
    <x v="622"/>
    <s v="Standard Class"/>
    <x v="13"/>
    <x v="0"/>
    <s v="Beijing"/>
    <s v="China"/>
    <s v="APAC"/>
    <x v="8"/>
    <s v="OFF-AR-10003582"/>
    <x v="0"/>
    <x v="5"/>
    <x v="515"/>
    <n v="225"/>
    <n v="7"/>
    <x v="1"/>
    <n v="11.13"/>
    <n v="22.39"/>
    <s v="Medium"/>
    <n v="2012"/>
  </r>
  <r>
    <s v="IN-2012-37586"/>
    <x v="556"/>
    <x v="623"/>
    <s v="Second Class"/>
    <x v="517"/>
    <x v="2"/>
    <s v="National Capital"/>
    <s v="Philippines"/>
    <s v="APAC"/>
    <x v="0"/>
    <s v="OFF-LA-10004430"/>
    <x v="0"/>
    <x v="4"/>
    <x v="581"/>
    <n v="7"/>
    <n v="1"/>
    <x v="18"/>
    <n v="0.2175"/>
    <n v="0.42"/>
    <s v="Medium"/>
    <n v="2012"/>
  </r>
  <r>
    <s v="ES-2014-2426460"/>
    <x v="581"/>
    <x v="621"/>
    <s v="Standard Class"/>
    <x v="171"/>
    <x v="0"/>
    <s v="Ile-de-France"/>
    <s v="France"/>
    <s v="EU"/>
    <x v="2"/>
    <s v="OFF-AP-10003971"/>
    <x v="0"/>
    <x v="1"/>
    <x v="738"/>
    <n v="226"/>
    <n v="3"/>
    <x v="2"/>
    <n v="-5.0220000000000002"/>
    <n v="14.53"/>
    <s v="Medium"/>
    <n v="2014"/>
  </r>
  <r>
    <s v="MX-2012-154179"/>
    <x v="576"/>
    <x v="562"/>
    <s v="Standard Class"/>
    <x v="282"/>
    <x v="0"/>
    <s v="SÃ£o Paulo"/>
    <s v="Brazil"/>
    <s v="LATAM"/>
    <x v="1"/>
    <s v="OFF-FA-10000801"/>
    <x v="0"/>
    <x v="6"/>
    <x v="739"/>
    <n v="19"/>
    <n v="2"/>
    <x v="1"/>
    <n v="6.12"/>
    <n v="2.21"/>
    <s v="Medium"/>
    <n v="2012"/>
  </r>
  <r>
    <s v="IN-2012-48338"/>
    <x v="583"/>
    <x v="624"/>
    <s v="Standard Class"/>
    <x v="55"/>
    <x v="1"/>
    <s v="Queensland"/>
    <s v="Australia"/>
    <s v="APAC"/>
    <x v="9"/>
    <s v="OFF-AP-10001322"/>
    <x v="0"/>
    <x v="1"/>
    <x v="253"/>
    <n v="3421"/>
    <n v="7"/>
    <x v="2"/>
    <n v="874.16700000000003"/>
    <n v="110.5"/>
    <s v="High"/>
    <n v="2012"/>
  </r>
  <r>
    <s v="IN-2014-35157"/>
    <x v="584"/>
    <x v="619"/>
    <s v="Second Class"/>
    <x v="454"/>
    <x v="2"/>
    <s v="Shanxi"/>
    <s v="China"/>
    <s v="APAC"/>
    <x v="8"/>
    <s v="OFF-FA-10004527"/>
    <x v="0"/>
    <x v="6"/>
    <x v="740"/>
    <n v="27"/>
    <n v="2"/>
    <x v="1"/>
    <n v="4.8600000000000003"/>
    <n v="1.47"/>
    <s v="Medium"/>
    <n v="2014"/>
  </r>
  <r>
    <s v="ES-2013-2911640"/>
    <x v="585"/>
    <x v="625"/>
    <s v="First Class"/>
    <x v="140"/>
    <x v="0"/>
    <s v="England"/>
    <s v="United Kingdom"/>
    <s v="EU"/>
    <x v="6"/>
    <s v="OFF-ST-10003956"/>
    <x v="0"/>
    <x v="3"/>
    <x v="741"/>
    <n v="494"/>
    <n v="8"/>
    <x v="1"/>
    <n v="34.32"/>
    <n v="16.510000000000002"/>
    <s v="High"/>
    <n v="2013"/>
  </r>
  <r>
    <s v="ES-2013-2364306"/>
    <x v="578"/>
    <x v="626"/>
    <s v="Standard Class"/>
    <x v="410"/>
    <x v="0"/>
    <s v="Ile-de-France"/>
    <s v="France"/>
    <s v="EU"/>
    <x v="2"/>
    <s v="OFF-AR-10002485"/>
    <x v="0"/>
    <x v="5"/>
    <x v="742"/>
    <n v="107"/>
    <n v="4"/>
    <x v="1"/>
    <n v="9.48"/>
    <n v="7.32"/>
    <s v="Medium"/>
    <n v="2013"/>
  </r>
  <r>
    <s v="ES-2011-2379967"/>
    <x v="586"/>
    <x v="627"/>
    <s v="Second Class"/>
    <x v="261"/>
    <x v="2"/>
    <s v="Bremen"/>
    <s v="Germany"/>
    <s v="EU"/>
    <x v="2"/>
    <s v="TEC-MA-10000687"/>
    <x v="2"/>
    <x v="10"/>
    <x v="743"/>
    <n v="98"/>
    <n v="2"/>
    <x v="1"/>
    <n v="38.04"/>
    <n v="11.72"/>
    <s v="High"/>
    <n v="2011"/>
  </r>
  <r>
    <s v="CA-2012-1970"/>
    <x v="575"/>
    <x v="616"/>
    <s v="Second Class"/>
    <x v="518"/>
    <x v="0"/>
    <s v="Saskatchewan"/>
    <s v="Canada"/>
    <s v="Canada"/>
    <x v="10"/>
    <s v="FUR-ADV-10000188"/>
    <x v="1"/>
    <x v="2"/>
    <x v="720"/>
    <n v="50"/>
    <n v="2"/>
    <x v="1"/>
    <n v="15.48"/>
    <n v="8.33"/>
    <s v="High"/>
    <n v="2012"/>
  </r>
  <r>
    <s v="CA-2014-106103"/>
    <x v="571"/>
    <x v="628"/>
    <s v="Standard Class"/>
    <x v="96"/>
    <x v="2"/>
    <s v="Michigan"/>
    <s v="United States"/>
    <s v="US"/>
    <x v="2"/>
    <s v="TEC-AC-10003832"/>
    <x v="2"/>
    <x v="11"/>
    <x v="744"/>
    <n v="133"/>
    <n v="4"/>
    <x v="1"/>
    <n v="54.333199999999998"/>
    <n v="15.89"/>
    <s v="High"/>
    <n v="2014"/>
  </r>
  <r>
    <s v="ID-2011-30922"/>
    <x v="587"/>
    <x v="164"/>
    <s v="Standard Class"/>
    <x v="400"/>
    <x v="2"/>
    <s v="Calabarzon"/>
    <s v="Philippines"/>
    <s v="APAC"/>
    <x v="0"/>
    <s v="OFF-SU-10004177"/>
    <x v="0"/>
    <x v="15"/>
    <x v="745"/>
    <n v="20"/>
    <n v="1"/>
    <x v="18"/>
    <n v="-8.5530000000000008"/>
    <n v="1.34"/>
    <s v="Medium"/>
    <n v="2011"/>
  </r>
  <r>
    <s v="CA-2014-107125"/>
    <x v="588"/>
    <x v="184"/>
    <s v="Standard Class"/>
    <x v="210"/>
    <x v="2"/>
    <s v="California"/>
    <s v="United States"/>
    <s v="US"/>
    <x v="7"/>
    <s v="OFF-BI-10001989"/>
    <x v="0"/>
    <x v="0"/>
    <x v="746"/>
    <n v="117"/>
    <n v="7"/>
    <x v="6"/>
    <n v="41.120800000000003"/>
    <n v="12.87"/>
    <s v="High"/>
    <n v="2014"/>
  </r>
  <r>
    <s v="IN-2014-34639"/>
    <x v="589"/>
    <x v="629"/>
    <s v="Standard Class"/>
    <x v="433"/>
    <x v="2"/>
    <s v="Sabah"/>
    <s v="Malaysia"/>
    <s v="APAC"/>
    <x v="0"/>
    <s v="TEC-PH-10004300"/>
    <x v="2"/>
    <x v="9"/>
    <x v="747"/>
    <n v="341"/>
    <n v="5"/>
    <x v="1"/>
    <n v="160.05000000000001"/>
    <n v="0.3"/>
    <s v="Medium"/>
    <n v="2014"/>
  </r>
  <r>
    <s v="IN-2013-40687"/>
    <x v="590"/>
    <x v="630"/>
    <s v="Standard Class"/>
    <x v="519"/>
    <x v="1"/>
    <s v="Shandong"/>
    <s v="China"/>
    <s v="APAC"/>
    <x v="8"/>
    <s v="TEC-PH-10004402"/>
    <x v="2"/>
    <x v="9"/>
    <x v="748"/>
    <n v="442"/>
    <n v="5"/>
    <x v="1"/>
    <n v="185.7"/>
    <n v="34.29"/>
    <s v="Medium"/>
    <n v="2013"/>
  </r>
  <r>
    <s v="MX-2014-108889"/>
    <x v="591"/>
    <x v="631"/>
    <s v="Standard Class"/>
    <x v="50"/>
    <x v="1"/>
    <s v="Sinaloa"/>
    <s v="Mexico"/>
    <s v="LATAM"/>
    <x v="6"/>
    <s v="OFF-PA-10002927"/>
    <x v="0"/>
    <x v="7"/>
    <x v="749"/>
    <n v="109"/>
    <n v="5"/>
    <x v="1"/>
    <n v="23.9"/>
    <n v="12.35"/>
    <s v="Medium"/>
    <n v="2014"/>
  </r>
  <r>
    <s v="IN-2013-49367"/>
    <x v="592"/>
    <x v="632"/>
    <s v="Standard Class"/>
    <x v="520"/>
    <x v="2"/>
    <s v="Hokkaido"/>
    <s v="Japan"/>
    <s v="APAC"/>
    <x v="8"/>
    <s v="OFF-EN-10000383"/>
    <x v="0"/>
    <x v="16"/>
    <x v="750"/>
    <n v="36"/>
    <n v="6"/>
    <x v="1"/>
    <n v="7.56"/>
    <n v="2.35"/>
    <s v="Medium"/>
    <n v="2013"/>
  </r>
  <r>
    <s v="CA-2011-119172"/>
    <x v="593"/>
    <x v="633"/>
    <s v="Standard Class"/>
    <x v="314"/>
    <x v="1"/>
    <s v="Illinois"/>
    <s v="United States"/>
    <s v="US"/>
    <x v="2"/>
    <s v="OFF-BI-10002026"/>
    <x v="0"/>
    <x v="0"/>
    <x v="751"/>
    <n v="105"/>
    <n v="9"/>
    <x v="15"/>
    <n v="-172.55699999999999"/>
    <n v="12.61"/>
    <s v="High"/>
    <n v="2011"/>
  </r>
  <r>
    <s v="RS-2013-3080"/>
    <x v="594"/>
    <x v="634"/>
    <s v="Standard Class"/>
    <x v="198"/>
    <x v="0"/>
    <s v="Dagestan"/>
    <s v="Russia"/>
    <s v="EMEA"/>
    <x v="4"/>
    <s v="FUR-ADV-10002601"/>
    <x v="1"/>
    <x v="2"/>
    <x v="752"/>
    <n v="52"/>
    <n v="1"/>
    <x v="1"/>
    <n v="24.75"/>
    <n v="2.42"/>
    <s v="Medium"/>
    <n v="2013"/>
  </r>
  <r>
    <s v="ES-2013-1534120"/>
    <x v="578"/>
    <x v="635"/>
    <s v="Standard Class"/>
    <x v="99"/>
    <x v="0"/>
    <s v="Schleswig-Holstein"/>
    <s v="Germany"/>
    <s v="EU"/>
    <x v="2"/>
    <s v="TEC-MA-10003927"/>
    <x v="2"/>
    <x v="10"/>
    <x v="753"/>
    <n v="1509"/>
    <n v="5"/>
    <x v="1"/>
    <n v="45.15"/>
    <n v="71.73"/>
    <s v="Low"/>
    <n v="2013"/>
  </r>
  <r>
    <s v="ES-2014-2505511"/>
    <x v="581"/>
    <x v="629"/>
    <s v="Second Class"/>
    <x v="521"/>
    <x v="0"/>
    <s v="SkÃ¥ne"/>
    <s v="Sweden"/>
    <s v="EU"/>
    <x v="6"/>
    <s v="TEC-CO-10002284"/>
    <x v="2"/>
    <x v="14"/>
    <x v="69"/>
    <n v="663"/>
    <n v="5"/>
    <x v="4"/>
    <n v="-212.17500000000001"/>
    <n v="134.80000000000001"/>
    <s v="High"/>
    <n v="2014"/>
  </r>
  <r>
    <s v="CA-2011-101833"/>
    <x v="595"/>
    <x v="636"/>
    <s v="Second Class"/>
    <x v="156"/>
    <x v="1"/>
    <s v="New York"/>
    <s v="United States"/>
    <s v="US"/>
    <x v="12"/>
    <s v="OFF-PA-10003591"/>
    <x v="0"/>
    <x v="7"/>
    <x v="754"/>
    <n v="34"/>
    <n v="3"/>
    <x v="1"/>
    <n v="17.22"/>
    <n v="3.12"/>
    <s v="High"/>
    <n v="2011"/>
  </r>
  <r>
    <s v="ES-2014-3785216"/>
    <x v="562"/>
    <x v="619"/>
    <s v="Standard Class"/>
    <x v="522"/>
    <x v="2"/>
    <s v="Nord-Pas-de-Calais"/>
    <s v="France"/>
    <s v="EU"/>
    <x v="2"/>
    <s v="FUR-CH-10002891"/>
    <x v="1"/>
    <x v="8"/>
    <x v="526"/>
    <n v="5729"/>
    <n v="14"/>
    <x v="2"/>
    <n v="63.545999999999999"/>
    <n v="572.95000000000005"/>
    <s v="High"/>
    <n v="2014"/>
  </r>
  <r>
    <s v="MX-2012-153157"/>
    <x v="596"/>
    <x v="637"/>
    <s v="First Class"/>
    <x v="181"/>
    <x v="0"/>
    <s v="Puebla"/>
    <s v="Mexico"/>
    <s v="LATAM"/>
    <x v="6"/>
    <s v="FUR-CH-10001795"/>
    <x v="1"/>
    <x v="8"/>
    <x v="755"/>
    <n v="320"/>
    <n v="7"/>
    <x v="6"/>
    <n v="55.944000000000003"/>
    <n v="39.130000000000003"/>
    <s v="Medium"/>
    <n v="2012"/>
  </r>
  <r>
    <s v="ES-2013-4034655"/>
    <x v="597"/>
    <x v="166"/>
    <s v="Standard Class"/>
    <x v="7"/>
    <x v="2"/>
    <s v="Ile-de-France"/>
    <s v="France"/>
    <s v="EU"/>
    <x v="2"/>
    <s v="OFF-AR-10000785"/>
    <x v="0"/>
    <x v="5"/>
    <x v="29"/>
    <n v="311"/>
    <n v="6"/>
    <x v="1"/>
    <n v="46.62"/>
    <n v="10.34"/>
    <s v="Medium"/>
    <n v="2013"/>
  </r>
  <r>
    <s v="IN-2011-62037"/>
    <x v="598"/>
    <x v="638"/>
    <s v="First Class"/>
    <x v="219"/>
    <x v="2"/>
    <s v="Ho ChÃ­ Minh City"/>
    <s v="Vietnam"/>
    <s v="APAC"/>
    <x v="0"/>
    <s v="FUR-CH-10003861"/>
    <x v="1"/>
    <x v="8"/>
    <x v="756"/>
    <n v="781"/>
    <n v="8"/>
    <x v="17"/>
    <n v="181.65119999999999"/>
    <n v="184.98"/>
    <s v="Critical"/>
    <n v="2011"/>
  </r>
  <r>
    <s v="MX-2014-113586"/>
    <x v="581"/>
    <x v="610"/>
    <s v="Same Day"/>
    <x v="421"/>
    <x v="0"/>
    <s v="Alagoas"/>
    <s v="Brazil"/>
    <s v="LATAM"/>
    <x v="1"/>
    <s v="FUR-TA-10003171"/>
    <x v="1"/>
    <x v="12"/>
    <x v="757"/>
    <n v="359"/>
    <n v="2"/>
    <x v="6"/>
    <n v="49.32"/>
    <n v="44.62"/>
    <s v="High"/>
    <n v="2014"/>
  </r>
  <r>
    <s v="US-2014-128118"/>
    <x v="599"/>
    <x v="639"/>
    <s v="Standard Class"/>
    <x v="95"/>
    <x v="0"/>
    <s v="Tennessee"/>
    <s v="United States"/>
    <s v="US"/>
    <x v="1"/>
    <s v="OFF-EN-10003448"/>
    <x v="0"/>
    <x v="16"/>
    <x v="758"/>
    <n v="65"/>
    <n v="7"/>
    <x v="6"/>
    <n v="24.318000000000001"/>
    <n v="6.41"/>
    <s v="Low"/>
    <n v="2014"/>
  </r>
  <r>
    <s v="MX-2012-143343"/>
    <x v="555"/>
    <x v="640"/>
    <s v="Second Class"/>
    <x v="288"/>
    <x v="2"/>
    <s v="Quezaltenango"/>
    <s v="Guatemala"/>
    <s v="LATAM"/>
    <x v="2"/>
    <s v="FUR-FU-10002800"/>
    <x v="1"/>
    <x v="2"/>
    <x v="759"/>
    <n v="101"/>
    <n v="3"/>
    <x v="1"/>
    <n v="28.2"/>
    <n v="6.82"/>
    <s v="Medium"/>
    <n v="2012"/>
  </r>
  <r>
    <s v="MO-2014-6060"/>
    <x v="588"/>
    <x v="639"/>
    <s v="Standard Class"/>
    <x v="523"/>
    <x v="1"/>
    <s v="Marrakech-Tensift-El Haouz"/>
    <s v="Morocco"/>
    <s v="Africa"/>
    <x v="5"/>
    <s v="OFF-ROG-10004949"/>
    <x v="0"/>
    <x v="3"/>
    <x v="760"/>
    <n v="376"/>
    <n v="6"/>
    <x v="1"/>
    <n v="112.68"/>
    <n v="21.44"/>
    <s v="Medium"/>
    <n v="2014"/>
  </r>
  <r>
    <s v="CA-2013-119963"/>
    <x v="585"/>
    <x v="641"/>
    <s v="Standard Class"/>
    <x v="524"/>
    <x v="1"/>
    <s v="Texas"/>
    <s v="United States"/>
    <s v="US"/>
    <x v="2"/>
    <s v="OFF-LA-10003510"/>
    <x v="0"/>
    <x v="4"/>
    <x v="761"/>
    <n v="49"/>
    <n v="2"/>
    <x v="6"/>
    <n v="15.8756"/>
    <n v="7.69"/>
    <s v="High"/>
    <n v="2013"/>
  </r>
  <r>
    <s v="IN-2012-69870"/>
    <x v="596"/>
    <x v="637"/>
    <s v="First Class"/>
    <x v="111"/>
    <x v="2"/>
    <s v="Shaanxi"/>
    <s v="China"/>
    <s v="APAC"/>
    <x v="8"/>
    <s v="FUR-CH-10004196"/>
    <x v="1"/>
    <x v="8"/>
    <x v="762"/>
    <n v="658"/>
    <n v="4"/>
    <x v="1"/>
    <n v="164.4"/>
    <n v="72.67"/>
    <s v="High"/>
    <n v="2012"/>
  </r>
  <r>
    <s v="IN-2012-46259"/>
    <x v="600"/>
    <x v="642"/>
    <s v="Standard Class"/>
    <x v="259"/>
    <x v="0"/>
    <s v="Delhi"/>
    <s v="India"/>
    <s v="APAC"/>
    <x v="3"/>
    <s v="OFF-PA-10000344"/>
    <x v="0"/>
    <x v="7"/>
    <x v="763"/>
    <n v="106"/>
    <n v="5"/>
    <x v="1"/>
    <n v="52.8"/>
    <n v="3.37"/>
    <s v="Medium"/>
    <n v="2012"/>
  </r>
  <r>
    <s v="CA-2013-110772"/>
    <x v="601"/>
    <x v="643"/>
    <s v="Second Class"/>
    <x v="385"/>
    <x v="1"/>
    <s v="Ohio"/>
    <s v="United States"/>
    <s v="US"/>
    <x v="12"/>
    <s v="FUR-BO-10004709"/>
    <x v="1"/>
    <x v="13"/>
    <x v="764"/>
    <n v="87"/>
    <n v="3"/>
    <x v="4"/>
    <n v="-48.703200000000002"/>
    <n v="8.64"/>
    <s v="Medium"/>
    <n v="2013"/>
  </r>
  <r>
    <s v="BU-2012-1110"/>
    <x v="583"/>
    <x v="644"/>
    <s v="Same Day"/>
    <x v="197"/>
    <x v="1"/>
    <s v="Sofiya-Grad"/>
    <s v="Bulgaria"/>
    <s v="EMEA"/>
    <x v="4"/>
    <s v="FUR-NOV-10004962"/>
    <x v="1"/>
    <x v="8"/>
    <x v="765"/>
    <n v="48"/>
    <n v="1"/>
    <x v="1"/>
    <n v="12.09"/>
    <n v="3.9"/>
    <s v="High"/>
    <n v="2012"/>
  </r>
  <r>
    <s v="ES-2014-4472745"/>
    <x v="552"/>
    <x v="645"/>
    <s v="Standard Class"/>
    <x v="525"/>
    <x v="0"/>
    <s v="Asturias"/>
    <s v="Spain"/>
    <s v="EU"/>
    <x v="1"/>
    <s v="OFF-AP-10004511"/>
    <x v="0"/>
    <x v="1"/>
    <x v="766"/>
    <n v="2478"/>
    <n v="5"/>
    <x v="1"/>
    <n v="1040.55"/>
    <n v="273.88"/>
    <s v="High"/>
    <n v="2014"/>
  </r>
  <r>
    <s v="CA-2013-106915"/>
    <x v="602"/>
    <x v="630"/>
    <s v="Standard Class"/>
    <x v="526"/>
    <x v="2"/>
    <s v="Texas"/>
    <s v="United States"/>
    <s v="US"/>
    <x v="2"/>
    <s v="OFF-AR-10000716"/>
    <x v="0"/>
    <x v="5"/>
    <x v="767"/>
    <n v="18"/>
    <n v="4"/>
    <x v="6"/>
    <n v="4.2408000000000001"/>
    <n v="1.19"/>
    <s v="Medium"/>
    <n v="2013"/>
  </r>
  <r>
    <s v="IR-2012-5410"/>
    <x v="603"/>
    <x v="595"/>
    <s v="Standard Class"/>
    <x v="417"/>
    <x v="2"/>
    <s v="Razavi Khorasan"/>
    <s v="Iran"/>
    <s v="EMEA"/>
    <x v="4"/>
    <s v="OFF-HAR-10000501"/>
    <x v="0"/>
    <x v="4"/>
    <x v="247"/>
    <n v="70"/>
    <n v="8"/>
    <x v="1"/>
    <n v="21.6"/>
    <n v="3.42"/>
    <s v="Medium"/>
    <n v="2012"/>
  </r>
  <r>
    <s v="IT-2014-5285883"/>
    <x v="559"/>
    <x v="629"/>
    <s v="Standard Class"/>
    <x v="527"/>
    <x v="2"/>
    <s v="Limburg"/>
    <s v="Netherlands"/>
    <s v="EU"/>
    <x v="2"/>
    <s v="OFF-BI-10003068"/>
    <x v="0"/>
    <x v="0"/>
    <x v="110"/>
    <n v="79"/>
    <n v="3"/>
    <x v="4"/>
    <n v="-6.39"/>
    <n v="3.97"/>
    <s v="Medium"/>
    <n v="2014"/>
  </r>
  <r>
    <s v="US-2013-164119"/>
    <x v="573"/>
    <x v="625"/>
    <s v="Standard Class"/>
    <x v="33"/>
    <x v="0"/>
    <s v="Francisco MorazÃ¡n"/>
    <s v="Honduras"/>
    <s v="LATAM"/>
    <x v="2"/>
    <s v="OFF-AR-10001244"/>
    <x v="0"/>
    <x v="5"/>
    <x v="768"/>
    <n v="86"/>
    <n v="4"/>
    <x v="5"/>
    <n v="-47.567999999999998"/>
    <n v="4.09"/>
    <s v="Medium"/>
    <n v="2013"/>
  </r>
  <r>
    <s v="CA-2012-135853"/>
    <x v="576"/>
    <x v="551"/>
    <s v="First Class"/>
    <x v="109"/>
    <x v="2"/>
    <s v="Michigan"/>
    <s v="United States"/>
    <s v="US"/>
    <x v="2"/>
    <s v="OFF-BI-10004965"/>
    <x v="0"/>
    <x v="0"/>
    <x v="769"/>
    <n v="23"/>
    <n v="2"/>
    <x v="1"/>
    <n v="10.35"/>
    <n v="6.31"/>
    <s v="Critical"/>
    <n v="2012"/>
  </r>
  <r>
    <s v="IT-2014-5393609"/>
    <x v="588"/>
    <x v="184"/>
    <s v="Standard Class"/>
    <x v="528"/>
    <x v="2"/>
    <s v="North Brabant"/>
    <s v="Netherlands"/>
    <s v="EU"/>
    <x v="2"/>
    <s v="OFF-ST-10004020"/>
    <x v="0"/>
    <x v="3"/>
    <x v="770"/>
    <n v="102"/>
    <n v="1"/>
    <x v="4"/>
    <n v="-89.85"/>
    <n v="14.56"/>
    <s v="High"/>
    <n v="2014"/>
  </r>
  <r>
    <s v="IN-2014-47337"/>
    <x v="604"/>
    <x v="646"/>
    <s v="Standard Class"/>
    <x v="435"/>
    <x v="0"/>
    <s v="Kabul"/>
    <s v="Afghanistan"/>
    <s v="APAC"/>
    <x v="3"/>
    <s v="TEC-PH-10002806"/>
    <x v="2"/>
    <x v="9"/>
    <x v="649"/>
    <n v="501"/>
    <n v="3"/>
    <x v="1"/>
    <n v="115.2"/>
    <n v="79.59"/>
    <s v="High"/>
    <n v="2014"/>
  </r>
  <r>
    <s v="ID-2013-17097"/>
    <x v="605"/>
    <x v="647"/>
    <s v="Second Class"/>
    <x v="260"/>
    <x v="2"/>
    <s v="National Capital"/>
    <s v="Philippines"/>
    <s v="APAC"/>
    <x v="0"/>
    <s v="OFF-LA-10002939"/>
    <x v="0"/>
    <x v="4"/>
    <x v="310"/>
    <n v="12"/>
    <n v="2"/>
    <x v="18"/>
    <n v="-5.226"/>
    <n v="0.84"/>
    <s v="Medium"/>
    <n v="2013"/>
  </r>
  <r>
    <s v="MX-2012-118185"/>
    <x v="606"/>
    <x v="648"/>
    <s v="Standard Class"/>
    <x v="529"/>
    <x v="2"/>
    <s v="SÃ£o Paulo"/>
    <s v="Brazil"/>
    <s v="LATAM"/>
    <x v="1"/>
    <s v="FUR-CH-10003107"/>
    <x v="1"/>
    <x v="8"/>
    <x v="730"/>
    <n v="464"/>
    <n v="4"/>
    <x v="1"/>
    <n v="129.84"/>
    <n v="77.61"/>
    <s v="Low"/>
    <n v="2012"/>
  </r>
  <r>
    <s v="MX-2012-134110"/>
    <x v="607"/>
    <x v="562"/>
    <s v="Second Class"/>
    <x v="240"/>
    <x v="2"/>
    <s v="CearÃ¡"/>
    <s v="Brazil"/>
    <s v="LATAM"/>
    <x v="1"/>
    <s v="OFF-AR-10002380"/>
    <x v="0"/>
    <x v="5"/>
    <x v="10"/>
    <n v="75"/>
    <n v="6"/>
    <x v="1"/>
    <n v="10.56"/>
    <n v="5.77"/>
    <s v="High"/>
    <n v="2012"/>
  </r>
  <r>
    <s v="CA-2011-139451"/>
    <x v="608"/>
    <x v="649"/>
    <s v="Standard Class"/>
    <x v="298"/>
    <x v="2"/>
    <s v="California"/>
    <s v="United States"/>
    <s v="US"/>
    <x v="7"/>
    <s v="OFF-AR-10002053"/>
    <x v="0"/>
    <x v="5"/>
    <x v="771"/>
    <n v="15"/>
    <n v="5"/>
    <x v="1"/>
    <n v="4.1719999999999997"/>
    <n v="0.45"/>
    <s v="Medium"/>
    <n v="2011"/>
  </r>
  <r>
    <s v="CA-2013-136686"/>
    <x v="609"/>
    <x v="604"/>
    <s v="Standard Class"/>
    <x v="431"/>
    <x v="2"/>
    <s v="California"/>
    <s v="United States"/>
    <s v="US"/>
    <x v="7"/>
    <s v="OFF-AP-10002350"/>
    <x v="0"/>
    <x v="1"/>
    <x v="772"/>
    <n v="57"/>
    <n v="3"/>
    <x v="1"/>
    <n v="15.8256"/>
    <n v="6.77"/>
    <s v="High"/>
    <n v="2013"/>
  </r>
  <r>
    <s v="ID-2014-71403"/>
    <x v="610"/>
    <x v="650"/>
    <s v="Standard Class"/>
    <x v="470"/>
    <x v="0"/>
    <s v="Jawa Barat"/>
    <s v="Indonesia"/>
    <s v="APAC"/>
    <x v="0"/>
    <s v="OFF-AR-10002665"/>
    <x v="0"/>
    <x v="5"/>
    <x v="773"/>
    <n v="36"/>
    <n v="2"/>
    <x v="17"/>
    <n v="-10.2744"/>
    <n v="0.64"/>
    <s v="Medium"/>
    <n v="2014"/>
  </r>
  <r>
    <s v="IN-2014-79173"/>
    <x v="611"/>
    <x v="651"/>
    <s v="Second Class"/>
    <x v="511"/>
    <x v="2"/>
    <s v="Queensland"/>
    <s v="Australia"/>
    <s v="APAC"/>
    <x v="9"/>
    <s v="OFF-AR-10002897"/>
    <x v="0"/>
    <x v="5"/>
    <x v="774"/>
    <n v="107"/>
    <n v="4"/>
    <x v="2"/>
    <n v="30.756"/>
    <n v="5.95"/>
    <s v="Medium"/>
    <n v="2014"/>
  </r>
  <r>
    <s v="ID-2012-41380"/>
    <x v="612"/>
    <x v="652"/>
    <s v="Standard Class"/>
    <x v="256"/>
    <x v="0"/>
    <s v="Sulawesi Utara"/>
    <s v="Indonesia"/>
    <s v="APAC"/>
    <x v="0"/>
    <s v="OFF-PA-10004648"/>
    <x v="0"/>
    <x v="7"/>
    <x v="775"/>
    <n v="21"/>
    <n v="2"/>
    <x v="13"/>
    <n v="-16.243200000000002"/>
    <n v="0.98"/>
    <s v="Medium"/>
    <n v="2012"/>
  </r>
  <r>
    <s v="MX-2012-128755"/>
    <x v="613"/>
    <x v="653"/>
    <s v="Standard Class"/>
    <x v="504"/>
    <x v="1"/>
    <s v="CamagÃ¼ey"/>
    <s v="Cuba"/>
    <s v="LATAM"/>
    <x v="11"/>
    <s v="OFF-AR-10003829"/>
    <x v="0"/>
    <x v="5"/>
    <x v="776"/>
    <n v="15"/>
    <n v="1"/>
    <x v="1"/>
    <n v="3.96"/>
    <n v="0.96"/>
    <s v="Medium"/>
    <n v="2012"/>
  </r>
  <r>
    <s v="US-2013-130379"/>
    <x v="614"/>
    <x v="654"/>
    <s v="Second Class"/>
    <x v="530"/>
    <x v="0"/>
    <s v="Panama"/>
    <s v="Panama"/>
    <s v="LATAM"/>
    <x v="2"/>
    <s v="OFF-AR-10003816"/>
    <x v="0"/>
    <x v="5"/>
    <x v="777"/>
    <n v="20"/>
    <n v="3"/>
    <x v="5"/>
    <n v="-4.4279999999999999"/>
    <n v="2.5499999999999998"/>
    <s v="Medium"/>
    <n v="2013"/>
  </r>
  <r>
    <s v="MX-2013-107650"/>
    <x v="615"/>
    <x v="655"/>
    <s v="Standard Class"/>
    <x v="130"/>
    <x v="2"/>
    <s v="San Salvador"/>
    <s v="El Salvador"/>
    <s v="LATAM"/>
    <x v="2"/>
    <s v="OFF-FA-10001337"/>
    <x v="0"/>
    <x v="6"/>
    <x v="351"/>
    <n v="37"/>
    <n v="7"/>
    <x v="1"/>
    <n v="16.8"/>
    <n v="1.55"/>
    <s v="Medium"/>
    <n v="2013"/>
  </r>
  <r>
    <s v="ES-2013-1394541"/>
    <x v="616"/>
    <x v="656"/>
    <s v="Standard Class"/>
    <x v="531"/>
    <x v="2"/>
    <s v="RhÃ´ne-Alpes"/>
    <s v="France"/>
    <s v="EU"/>
    <x v="2"/>
    <s v="TEC-PH-10001070"/>
    <x v="2"/>
    <x v="9"/>
    <x v="407"/>
    <n v="62"/>
    <n v="1"/>
    <x v="12"/>
    <n v="19.7865"/>
    <n v="5.54"/>
    <s v="Medium"/>
    <n v="2013"/>
  </r>
  <r>
    <s v="ES-2013-2212734"/>
    <x v="617"/>
    <x v="657"/>
    <s v="First Class"/>
    <x v="498"/>
    <x v="0"/>
    <s v="Bremen"/>
    <s v="Germany"/>
    <s v="EU"/>
    <x v="2"/>
    <s v="OFF-BI-10001754"/>
    <x v="0"/>
    <x v="0"/>
    <x v="778"/>
    <n v="70"/>
    <n v="5"/>
    <x v="1"/>
    <n v="25.8"/>
    <n v="10.1"/>
    <s v="Medium"/>
    <n v="2013"/>
  </r>
  <r>
    <s v="CA-2011-166730"/>
    <x v="618"/>
    <x v="658"/>
    <s v="First Class"/>
    <x v="155"/>
    <x v="2"/>
    <s v="Tennessee"/>
    <s v="United States"/>
    <s v="US"/>
    <x v="1"/>
    <s v="OFF-ST-10002554"/>
    <x v="0"/>
    <x v="3"/>
    <x v="779"/>
    <n v="39"/>
    <n v="1"/>
    <x v="6"/>
    <n v="-8.8038000000000007"/>
    <n v="3.77"/>
    <s v="Medium"/>
    <n v="2011"/>
  </r>
  <r>
    <s v="CA-2014-156664"/>
    <x v="619"/>
    <x v="659"/>
    <s v="Standard Class"/>
    <x v="532"/>
    <x v="2"/>
    <s v="Ohio"/>
    <s v="United States"/>
    <s v="US"/>
    <x v="12"/>
    <s v="OFF-FA-10002988"/>
    <x v="0"/>
    <x v="6"/>
    <x v="780"/>
    <n v="5"/>
    <n v="3"/>
    <x v="6"/>
    <n v="1.7486999999999999"/>
    <n v="0.53"/>
    <s v="Medium"/>
    <n v="2014"/>
  </r>
  <r>
    <s v="EG-2013-4270"/>
    <x v="620"/>
    <x v="660"/>
    <s v="Standard Class"/>
    <x v="235"/>
    <x v="2"/>
    <s v="Al Iskandariyah"/>
    <s v="Egypt"/>
    <s v="Africa"/>
    <x v="5"/>
    <s v="OFF-FEL-10004974"/>
    <x v="0"/>
    <x v="3"/>
    <x v="82"/>
    <n v="54"/>
    <n v="2"/>
    <x v="1"/>
    <n v="12.36"/>
    <n v="4.87"/>
    <s v="Low"/>
    <n v="2013"/>
  </r>
  <r>
    <s v="IN-2013-11518"/>
    <x v="621"/>
    <x v="161"/>
    <s v="Standard Class"/>
    <x v="533"/>
    <x v="2"/>
    <s v="Kerala"/>
    <s v="India"/>
    <s v="APAC"/>
    <x v="3"/>
    <s v="OFF-PA-10003969"/>
    <x v="0"/>
    <x v="7"/>
    <x v="781"/>
    <n v="59"/>
    <n v="2"/>
    <x v="1"/>
    <n v="26.1"/>
    <n v="5.17"/>
    <s v="Medium"/>
    <n v="2013"/>
  </r>
  <r>
    <s v="CG-2012-8310"/>
    <x v="622"/>
    <x v="623"/>
    <s v="First Class"/>
    <x v="534"/>
    <x v="2"/>
    <s v="Katanga"/>
    <s v="Democratic Republic of the Congo"/>
    <s v="Africa"/>
    <x v="5"/>
    <s v="TEC-ENE-10000817"/>
    <x v="2"/>
    <x v="11"/>
    <x v="133"/>
    <n v="567"/>
    <n v="14"/>
    <x v="1"/>
    <n v="68.040000000000006"/>
    <n v="91.13"/>
    <s v="Medium"/>
    <n v="2012"/>
  </r>
  <r>
    <s v="CA-2011-141607"/>
    <x v="623"/>
    <x v="661"/>
    <s v="Standard Class"/>
    <x v="535"/>
    <x v="2"/>
    <s v="California"/>
    <s v="United States"/>
    <s v="US"/>
    <x v="7"/>
    <s v="FUR-FU-10003975"/>
    <x v="1"/>
    <x v="2"/>
    <x v="782"/>
    <n v="43"/>
    <n v="1"/>
    <x v="1"/>
    <n v="4.3310000000000004"/>
    <n v="3.88"/>
    <s v="Medium"/>
    <n v="2011"/>
  </r>
  <r>
    <s v="ES-2014-2688044"/>
    <x v="624"/>
    <x v="662"/>
    <s v="Same Day"/>
    <x v="536"/>
    <x v="2"/>
    <s v="Ile-de-France"/>
    <s v="France"/>
    <s v="EU"/>
    <x v="2"/>
    <s v="OFF-AR-10001461"/>
    <x v="0"/>
    <x v="5"/>
    <x v="783"/>
    <n v="114"/>
    <n v="2"/>
    <x v="1"/>
    <n v="1.08"/>
    <n v="27.69"/>
    <s v="Medium"/>
    <n v="2014"/>
  </r>
  <r>
    <s v="MX-2011-139731"/>
    <x v="625"/>
    <x v="663"/>
    <s v="First Class"/>
    <x v="508"/>
    <x v="0"/>
    <s v="Santiago"/>
    <s v="Dominican Republic"/>
    <s v="LATAM"/>
    <x v="11"/>
    <s v="FUR-FU-10002818"/>
    <x v="1"/>
    <x v="2"/>
    <x v="784"/>
    <n v="26"/>
    <n v="3"/>
    <x v="4"/>
    <n v="-0.03"/>
    <n v="4.6399999999999997"/>
    <s v="High"/>
    <n v="2011"/>
  </r>
  <r>
    <s v="CA-2012-126347"/>
    <x v="607"/>
    <x v="648"/>
    <s v="Second Class"/>
    <x v="164"/>
    <x v="2"/>
    <s v="California"/>
    <s v="United States"/>
    <s v="US"/>
    <x v="7"/>
    <s v="TEC-AC-10003063"/>
    <x v="2"/>
    <x v="11"/>
    <x v="785"/>
    <n v="50"/>
    <n v="2"/>
    <x v="1"/>
    <n v="10.5"/>
    <n v="4.79"/>
    <s v="Medium"/>
    <n v="2012"/>
  </r>
  <r>
    <s v="IN-2014-75603"/>
    <x v="626"/>
    <x v="664"/>
    <s v="Second Class"/>
    <x v="343"/>
    <x v="0"/>
    <s v="Andhra Pradesh"/>
    <s v="India"/>
    <s v="APAC"/>
    <x v="3"/>
    <s v="OFF-SU-10001618"/>
    <x v="0"/>
    <x v="15"/>
    <x v="306"/>
    <n v="258"/>
    <n v="9"/>
    <x v="1"/>
    <n v="92.88"/>
    <n v="46.11"/>
    <s v="Medium"/>
    <n v="2014"/>
  </r>
  <r>
    <s v="TU-2014-220"/>
    <x v="627"/>
    <x v="471"/>
    <s v="Second Class"/>
    <x v="537"/>
    <x v="1"/>
    <s v="Gaziantep"/>
    <s v="Turkey"/>
    <s v="EMEA"/>
    <x v="4"/>
    <s v="OFF-OIC-10001056"/>
    <x v="0"/>
    <x v="6"/>
    <x v="786"/>
    <n v="15"/>
    <n v="2"/>
    <x v="3"/>
    <n v="-3.84"/>
    <n v="2.06"/>
    <s v="Medium"/>
    <n v="2014"/>
  </r>
  <r>
    <s v="CG-2013-8200"/>
    <x v="628"/>
    <x v="152"/>
    <s v="Second Class"/>
    <x v="50"/>
    <x v="1"/>
    <s v="Kasai-Occidental"/>
    <s v="Democratic Republic of the Congo"/>
    <s v="Africa"/>
    <x v="5"/>
    <s v="TEC-ENE-10000895"/>
    <x v="2"/>
    <x v="11"/>
    <x v="787"/>
    <n v="40"/>
    <n v="1"/>
    <x v="1"/>
    <n v="4.83"/>
    <n v="5.03"/>
    <s v="Medium"/>
    <n v="2013"/>
  </r>
  <r>
    <s v="IN-2013-56416"/>
    <x v="629"/>
    <x v="665"/>
    <s v="Standard Class"/>
    <x v="530"/>
    <x v="0"/>
    <s v="Heilongjiang"/>
    <s v="China"/>
    <s v="APAC"/>
    <x v="8"/>
    <s v="OFF-EN-10002007"/>
    <x v="0"/>
    <x v="16"/>
    <x v="597"/>
    <n v="25"/>
    <n v="2"/>
    <x v="1"/>
    <n v="3.96"/>
    <n v="2.25"/>
    <s v="Medium"/>
    <n v="2013"/>
  </r>
  <r>
    <s v="EG-2011-3420"/>
    <x v="618"/>
    <x v="88"/>
    <s v="Standard Class"/>
    <x v="207"/>
    <x v="2"/>
    <s v="Al Qahirah"/>
    <s v="Egypt"/>
    <s v="Africa"/>
    <x v="5"/>
    <s v="OFF-HOO-10002386"/>
    <x v="0"/>
    <x v="1"/>
    <x v="1"/>
    <n v="84"/>
    <n v="1"/>
    <x v="1"/>
    <n v="30.36"/>
    <n v="6.47"/>
    <s v="Medium"/>
    <n v="2011"/>
  </r>
  <r>
    <s v="IN-2011-48009"/>
    <x v="630"/>
    <x v="666"/>
    <s v="Standard Class"/>
    <x v="276"/>
    <x v="2"/>
    <s v="Rajasthan"/>
    <s v="India"/>
    <s v="APAC"/>
    <x v="3"/>
    <s v="TEC-MA-10001627"/>
    <x v="2"/>
    <x v="10"/>
    <x v="788"/>
    <n v="533"/>
    <n v="2"/>
    <x v="1"/>
    <n v="207.66"/>
    <n v="43.64"/>
    <s v="Medium"/>
    <n v="2011"/>
  </r>
  <r>
    <s v="CA-2011-168368"/>
    <x v="631"/>
    <x v="124"/>
    <s v="Second Class"/>
    <x v="538"/>
    <x v="2"/>
    <s v="Missouri"/>
    <s v="United States"/>
    <s v="US"/>
    <x v="2"/>
    <s v="OFF-ST-10002583"/>
    <x v="0"/>
    <x v="3"/>
    <x v="789"/>
    <n v="65"/>
    <n v="2"/>
    <x v="1"/>
    <n v="2.5983999999999998"/>
    <n v="6.78"/>
    <s v="Medium"/>
    <n v="2011"/>
  </r>
  <r>
    <s v="NI-2014-3370"/>
    <x v="632"/>
    <x v="667"/>
    <s v="Standard Class"/>
    <x v="454"/>
    <x v="2"/>
    <s v="Oyo"/>
    <s v="Nigeria"/>
    <s v="Africa"/>
    <x v="5"/>
    <s v="OFF-SME-10001853"/>
    <x v="0"/>
    <x v="3"/>
    <x v="790"/>
    <n v="5"/>
    <n v="1"/>
    <x v="7"/>
    <n v="-10.173"/>
    <n v="0.27"/>
    <s v="Medium"/>
    <n v="2014"/>
  </r>
  <r>
    <s v="US-2013-119928"/>
    <x v="616"/>
    <x v="668"/>
    <s v="Second Class"/>
    <x v="109"/>
    <x v="2"/>
    <s v="Jalisco"/>
    <s v="Mexico"/>
    <s v="LATAM"/>
    <x v="6"/>
    <s v="FUR-FU-10003901"/>
    <x v="1"/>
    <x v="2"/>
    <x v="720"/>
    <n v="40"/>
    <n v="4"/>
    <x v="5"/>
    <n v="-13.375999999999999"/>
    <n v="1.82"/>
    <s v="Medium"/>
    <n v="2013"/>
  </r>
  <r>
    <s v="CA-2012-128083"/>
    <x v="633"/>
    <x v="669"/>
    <s v="Standard Class"/>
    <x v="63"/>
    <x v="0"/>
    <s v="Florida"/>
    <s v="United States"/>
    <s v="US"/>
    <x v="1"/>
    <s v="OFF-EN-10004030"/>
    <x v="0"/>
    <x v="16"/>
    <x v="791"/>
    <n v="9"/>
    <n v="3"/>
    <x v="6"/>
    <n v="2.9321999999999999"/>
    <n v="0.48"/>
    <s v="Medium"/>
    <n v="2012"/>
  </r>
  <r>
    <s v="TU-2014-4510"/>
    <x v="627"/>
    <x v="670"/>
    <s v="Second Class"/>
    <x v="522"/>
    <x v="2"/>
    <s v="Konya"/>
    <s v="Turkey"/>
    <s v="EMEA"/>
    <x v="4"/>
    <s v="OFF-STA-10001636"/>
    <x v="0"/>
    <x v="5"/>
    <x v="173"/>
    <n v="10"/>
    <n v="1"/>
    <x v="3"/>
    <n v="-6.8579999999999997"/>
    <n v="1.3"/>
    <s v="High"/>
    <n v="2014"/>
  </r>
  <r>
    <s v="ES-2014-5605089"/>
    <x v="634"/>
    <x v="651"/>
    <s v="Standard Class"/>
    <x v="160"/>
    <x v="2"/>
    <s v="Hamburg"/>
    <s v="Germany"/>
    <s v="EU"/>
    <x v="2"/>
    <s v="OFF-AR-10002255"/>
    <x v="0"/>
    <x v="5"/>
    <x v="792"/>
    <n v="155"/>
    <n v="3"/>
    <x v="1"/>
    <n v="4.59"/>
    <n v="13.74"/>
    <s v="High"/>
    <n v="2014"/>
  </r>
  <r>
    <s v="IT-2013-1215824"/>
    <x v="614"/>
    <x v="654"/>
    <s v="Standard Class"/>
    <x v="539"/>
    <x v="2"/>
    <s v="Brandenburg"/>
    <s v="Germany"/>
    <s v="EU"/>
    <x v="2"/>
    <s v="OFF-AR-10002116"/>
    <x v="0"/>
    <x v="5"/>
    <x v="64"/>
    <n v="109"/>
    <n v="7"/>
    <x v="1"/>
    <n v="35.700000000000003"/>
    <n v="3.38"/>
    <s v="Medium"/>
    <n v="2013"/>
  </r>
  <r>
    <s v="MX-2014-152891"/>
    <x v="627"/>
    <x v="670"/>
    <s v="Standard Class"/>
    <x v="354"/>
    <x v="2"/>
    <s v="San Salvador"/>
    <s v="El Salvador"/>
    <s v="LATAM"/>
    <x v="2"/>
    <s v="FUR-TA-10001602"/>
    <x v="1"/>
    <x v="12"/>
    <x v="793"/>
    <n v="537"/>
    <n v="2"/>
    <x v="6"/>
    <n v="-26.88"/>
    <n v="77.260000000000005"/>
    <s v="High"/>
    <n v="2014"/>
  </r>
  <r>
    <s v="IN-2014-75603"/>
    <x v="626"/>
    <x v="664"/>
    <s v="Second Class"/>
    <x v="343"/>
    <x v="0"/>
    <s v="Andhra Pradesh"/>
    <s v="India"/>
    <s v="APAC"/>
    <x v="3"/>
    <s v="OFF-ST-10001824"/>
    <x v="0"/>
    <x v="3"/>
    <x v="630"/>
    <n v="72"/>
    <n v="3"/>
    <x v="1"/>
    <n v="4.32"/>
    <n v="3.88"/>
    <s v="Medium"/>
    <n v="2014"/>
  </r>
  <r>
    <s v="CA-2014-119578"/>
    <x v="635"/>
    <x v="671"/>
    <s v="Second Class"/>
    <x v="540"/>
    <x v="0"/>
    <s v="Rhode Island"/>
    <s v="United States"/>
    <s v="US"/>
    <x v="12"/>
    <s v="FUR-BO-10003660"/>
    <x v="1"/>
    <x v="13"/>
    <x v="794"/>
    <n v="221"/>
    <n v="1"/>
    <x v="1"/>
    <n v="50.825400000000002"/>
    <n v="12.61"/>
    <s v="Medium"/>
    <n v="2014"/>
  </r>
  <r>
    <s v="CA-2012-139962"/>
    <x v="606"/>
    <x v="672"/>
    <s v="Standard Class"/>
    <x v="468"/>
    <x v="1"/>
    <s v="Massachusetts"/>
    <s v="United States"/>
    <s v="US"/>
    <x v="12"/>
    <s v="OFF-BI-10004738"/>
    <x v="0"/>
    <x v="0"/>
    <x v="795"/>
    <n v="38"/>
    <n v="2"/>
    <x v="1"/>
    <n v="18.940000000000001"/>
    <n v="4.03"/>
    <s v="Medium"/>
    <n v="2012"/>
  </r>
  <r>
    <s v="IN-2014-69457"/>
    <x v="636"/>
    <x v="673"/>
    <s v="Standard Class"/>
    <x v="360"/>
    <x v="1"/>
    <s v="Zhejiang"/>
    <s v="China"/>
    <s v="APAC"/>
    <x v="8"/>
    <s v="OFF-PA-10004741"/>
    <x v="0"/>
    <x v="7"/>
    <x v="796"/>
    <n v="53"/>
    <n v="1"/>
    <x v="1"/>
    <n v="2.61"/>
    <n v="2.4900000000000002"/>
    <s v="Medium"/>
    <n v="2014"/>
  </r>
  <r>
    <s v="CG-2012-8310"/>
    <x v="622"/>
    <x v="623"/>
    <s v="First Class"/>
    <x v="534"/>
    <x v="2"/>
    <s v="Katanga"/>
    <s v="Democratic Republic of the Congo"/>
    <s v="Africa"/>
    <x v="5"/>
    <s v="OFF-SAN-10001634"/>
    <x v="0"/>
    <x v="5"/>
    <x v="797"/>
    <n v="609"/>
    <n v="12"/>
    <x v="1"/>
    <n v="79.2"/>
    <n v="9.18"/>
    <s v="Medium"/>
    <n v="2012"/>
  </r>
  <r>
    <s v="ES-2014-2388184"/>
    <x v="627"/>
    <x v="471"/>
    <s v="Second Class"/>
    <x v="514"/>
    <x v="2"/>
    <s v="RhÃ´ne-Alpes"/>
    <s v="France"/>
    <s v="EU"/>
    <x v="2"/>
    <s v="OFF-AR-10000184"/>
    <x v="0"/>
    <x v="5"/>
    <x v="798"/>
    <n v="64"/>
    <n v="2"/>
    <x v="1"/>
    <n v="32.1"/>
    <n v="5.31"/>
    <s v="High"/>
    <n v="2014"/>
  </r>
  <r>
    <s v="ES-2013-1225665"/>
    <x v="609"/>
    <x v="660"/>
    <s v="Standard Class"/>
    <x v="354"/>
    <x v="2"/>
    <s v="North Rhine-Westphalia"/>
    <s v="Germany"/>
    <s v="EU"/>
    <x v="2"/>
    <s v="OFF-AR-10000316"/>
    <x v="0"/>
    <x v="5"/>
    <x v="799"/>
    <n v="30"/>
    <n v="3"/>
    <x v="1"/>
    <n v="14.76"/>
    <n v="3.02"/>
    <s v="Medium"/>
    <n v="2013"/>
  </r>
  <r>
    <s v="IV-2013-4490"/>
    <x v="617"/>
    <x v="632"/>
    <s v="Standard Class"/>
    <x v="409"/>
    <x v="2"/>
    <s v="Lagunes"/>
    <s v="Cote d'Ivoire"/>
    <s v="Africa"/>
    <x v="5"/>
    <s v="TEC-MEM-10000582"/>
    <x v="2"/>
    <x v="11"/>
    <x v="800"/>
    <n v="29"/>
    <n v="1"/>
    <x v="1"/>
    <n v="6.15"/>
    <n v="1.75"/>
    <s v="Medium"/>
    <n v="2013"/>
  </r>
  <r>
    <s v="IN-2014-82176"/>
    <x v="635"/>
    <x v="671"/>
    <s v="Standard Class"/>
    <x v="426"/>
    <x v="2"/>
    <s v="Queensland"/>
    <s v="Australia"/>
    <s v="APAC"/>
    <x v="9"/>
    <s v="FUR-TA-10001558"/>
    <x v="1"/>
    <x v="12"/>
    <x v="128"/>
    <n v="379"/>
    <n v="2"/>
    <x v="5"/>
    <n v="63.143999999999998"/>
    <n v="25.78"/>
    <s v="Medium"/>
    <n v="2014"/>
  </r>
  <r>
    <s v="US-2014-128587"/>
    <x v="637"/>
    <x v="612"/>
    <s v="Second Class"/>
    <x v="400"/>
    <x v="2"/>
    <s v="Zulia"/>
    <s v="Venezuela"/>
    <s v="LATAM"/>
    <x v="1"/>
    <s v="FUR-BO-10001201"/>
    <x v="1"/>
    <x v="13"/>
    <x v="801"/>
    <n v="99"/>
    <n v="2"/>
    <x v="5"/>
    <n v="4.9279999999999999"/>
    <n v="17.97"/>
    <s v="Critical"/>
    <n v="2014"/>
  </r>
  <r>
    <s v="US-2011-108651"/>
    <x v="638"/>
    <x v="674"/>
    <s v="Standard Class"/>
    <x v="457"/>
    <x v="2"/>
    <s v="Panama"/>
    <s v="Panama"/>
    <s v="LATAM"/>
    <x v="2"/>
    <s v="OFF-AP-10003774"/>
    <x v="0"/>
    <x v="1"/>
    <x v="802"/>
    <n v="55"/>
    <n v="2"/>
    <x v="5"/>
    <n v="-8.2240000000000002"/>
    <n v="2.08"/>
    <s v="Medium"/>
    <n v="2011"/>
  </r>
  <r>
    <s v="KZ-2012-4400"/>
    <x v="639"/>
    <x v="675"/>
    <s v="Standard Class"/>
    <x v="541"/>
    <x v="1"/>
    <s v="Almaty City"/>
    <s v="Kazakhstan"/>
    <s v="EMEA"/>
    <x v="4"/>
    <s v="OFF-ELD-10001832"/>
    <x v="0"/>
    <x v="3"/>
    <x v="803"/>
    <n v="29"/>
    <n v="2"/>
    <x v="7"/>
    <n v="-67.83"/>
    <n v="2.99"/>
    <s v="High"/>
    <n v="2012"/>
  </r>
  <r>
    <s v="TU-2011-6820"/>
    <x v="640"/>
    <x v="676"/>
    <s v="Second Class"/>
    <x v="542"/>
    <x v="2"/>
    <s v="Mersin"/>
    <s v="Turkey"/>
    <s v="EMEA"/>
    <x v="4"/>
    <s v="FUR-HON-10001847"/>
    <x v="1"/>
    <x v="8"/>
    <x v="526"/>
    <n v="182"/>
    <n v="1"/>
    <x v="3"/>
    <n v="-222.816"/>
    <n v="12.71"/>
    <s v="Medium"/>
    <n v="2011"/>
  </r>
  <r>
    <s v="MX-2012-115504"/>
    <x v="641"/>
    <x v="677"/>
    <s v="Standard Class"/>
    <x v="427"/>
    <x v="2"/>
    <s v="Jalisco"/>
    <s v="Mexico"/>
    <s v="LATAM"/>
    <x v="6"/>
    <s v="OFF-EN-10001538"/>
    <x v="0"/>
    <x v="16"/>
    <x v="804"/>
    <n v="113"/>
    <n v="9"/>
    <x v="1"/>
    <n v="21.42"/>
    <n v="6.22"/>
    <s v="Medium"/>
    <n v="2012"/>
  </r>
  <r>
    <s v="ES-2011-1831867"/>
    <x v="642"/>
    <x v="678"/>
    <s v="First Class"/>
    <x v="543"/>
    <x v="2"/>
    <s v="Hamburg"/>
    <s v="Germany"/>
    <s v="EU"/>
    <x v="2"/>
    <s v="OFF-SU-10000171"/>
    <x v="0"/>
    <x v="15"/>
    <x v="805"/>
    <n v="87"/>
    <n v="2"/>
    <x v="1"/>
    <n v="40.68"/>
    <n v="20.329999999999998"/>
    <s v="Critical"/>
    <n v="2011"/>
  </r>
  <r>
    <s v="ES-2011-2417338"/>
    <x v="618"/>
    <x v="679"/>
    <s v="Standard Class"/>
    <x v="36"/>
    <x v="2"/>
    <s v="Madrid"/>
    <s v="Spain"/>
    <s v="EU"/>
    <x v="1"/>
    <s v="TEC-MA-10002660"/>
    <x v="2"/>
    <x v="10"/>
    <x v="806"/>
    <n v="143"/>
    <n v="2"/>
    <x v="2"/>
    <n v="44.423999999999999"/>
    <n v="6.94"/>
    <s v="High"/>
    <n v="2011"/>
  </r>
  <r>
    <s v="MX-2011-143168"/>
    <x v="643"/>
    <x v="680"/>
    <s v="Second Class"/>
    <x v="77"/>
    <x v="1"/>
    <s v="Huehuetenango"/>
    <s v="Guatemala"/>
    <s v="LATAM"/>
    <x v="2"/>
    <s v="TEC-CO-10001933"/>
    <x v="2"/>
    <x v="14"/>
    <x v="807"/>
    <n v="397"/>
    <n v="2"/>
    <x v="9"/>
    <n v="70.724959999999996"/>
    <n v="19.899999999999999"/>
    <s v="Medium"/>
    <n v="2011"/>
  </r>
  <r>
    <s v="ES-2013-2212734"/>
    <x v="617"/>
    <x v="657"/>
    <s v="First Class"/>
    <x v="498"/>
    <x v="0"/>
    <s v="Bremen"/>
    <s v="Germany"/>
    <s v="EU"/>
    <x v="2"/>
    <s v="OFF-BI-10002935"/>
    <x v="0"/>
    <x v="0"/>
    <x v="85"/>
    <n v="75"/>
    <n v="6"/>
    <x v="1"/>
    <n v="5.94"/>
    <n v="0.2"/>
    <s v="Medium"/>
    <n v="2013"/>
  </r>
  <r>
    <s v="IN-2012-60385"/>
    <x v="644"/>
    <x v="681"/>
    <s v="Standard Class"/>
    <x v="115"/>
    <x v="1"/>
    <s v="Henan"/>
    <s v="China"/>
    <s v="APAC"/>
    <x v="8"/>
    <s v="TEC-MA-10002871"/>
    <x v="2"/>
    <x v="10"/>
    <x v="284"/>
    <n v="236"/>
    <n v="2"/>
    <x v="1"/>
    <n v="73.14"/>
    <n v="16.59"/>
    <s v="Medium"/>
    <n v="2012"/>
  </r>
  <r>
    <s v="MX-2013-145303"/>
    <x v="645"/>
    <x v="433"/>
    <s v="First Class"/>
    <x v="349"/>
    <x v="2"/>
    <s v="Villa Clara"/>
    <s v="Cuba"/>
    <s v="LATAM"/>
    <x v="11"/>
    <s v="TEC-MA-10004956"/>
    <x v="2"/>
    <x v="10"/>
    <x v="808"/>
    <n v="460"/>
    <n v="4"/>
    <x v="1"/>
    <n v="220.56"/>
    <n v="113.1"/>
    <s v="High"/>
    <n v="2013"/>
  </r>
  <r>
    <s v="ES-2011-3091823"/>
    <x v="640"/>
    <x v="682"/>
    <s v="Standard Class"/>
    <x v="544"/>
    <x v="2"/>
    <s v="England"/>
    <s v="United Kingdom"/>
    <s v="EU"/>
    <x v="6"/>
    <s v="FUR-BO-10002892"/>
    <x v="1"/>
    <x v="13"/>
    <x v="647"/>
    <n v="1983"/>
    <n v="5"/>
    <x v="2"/>
    <n v="616.81500000000005"/>
    <n v="211.36"/>
    <s v="High"/>
    <n v="2011"/>
  </r>
  <r>
    <s v="ES-2011-2470488"/>
    <x v="646"/>
    <x v="683"/>
    <s v="Second Class"/>
    <x v="47"/>
    <x v="2"/>
    <s v="Ile-de-France"/>
    <s v="France"/>
    <s v="EU"/>
    <x v="2"/>
    <s v="OFF-PA-10002971"/>
    <x v="0"/>
    <x v="7"/>
    <x v="809"/>
    <n v="96"/>
    <n v="7"/>
    <x v="1"/>
    <n v="19.95"/>
    <n v="16.940000000000001"/>
    <s v="High"/>
    <n v="2011"/>
  </r>
  <r>
    <s v="MX-2013-149937"/>
    <x v="647"/>
    <x v="347"/>
    <s v="First Class"/>
    <x v="545"/>
    <x v="2"/>
    <s v="Sonora"/>
    <s v="Mexico"/>
    <s v="LATAM"/>
    <x v="6"/>
    <s v="OFF-EN-10004410"/>
    <x v="0"/>
    <x v="16"/>
    <x v="73"/>
    <n v="109"/>
    <n v="4"/>
    <x v="1"/>
    <n v="43.68"/>
    <n v="14.15"/>
    <s v="Medium"/>
    <n v="2013"/>
  </r>
  <r>
    <s v="CA-2013-101168"/>
    <x v="648"/>
    <x v="684"/>
    <s v="Standard Class"/>
    <x v="390"/>
    <x v="0"/>
    <s v="New Hampshire"/>
    <s v="United States"/>
    <s v="US"/>
    <x v="12"/>
    <s v="FUR-FU-10003142"/>
    <x v="1"/>
    <x v="2"/>
    <x v="810"/>
    <n v="21"/>
    <n v="4"/>
    <x v="1"/>
    <n v="6.5472000000000001"/>
    <n v="1.55"/>
    <s v="Medium"/>
    <n v="2013"/>
  </r>
  <r>
    <s v="SF-2014-9190"/>
    <x v="649"/>
    <x v="685"/>
    <s v="Standard Class"/>
    <x v="546"/>
    <x v="2"/>
    <s v="Gauteng"/>
    <s v="South Africa"/>
    <s v="Africa"/>
    <x v="5"/>
    <s v="OFF-BIN-10000901"/>
    <x v="0"/>
    <x v="5"/>
    <x v="811"/>
    <n v="30"/>
    <n v="2"/>
    <x v="1"/>
    <n v="10.86"/>
    <n v="1.68"/>
    <s v="Medium"/>
    <n v="2014"/>
  </r>
  <r>
    <s v="IN-2014-48814"/>
    <x v="635"/>
    <x v="686"/>
    <s v="Standard Class"/>
    <x v="547"/>
    <x v="1"/>
    <s v="New South Wales"/>
    <s v="Australia"/>
    <s v="APAC"/>
    <x v="9"/>
    <s v="FUR-FU-10003918"/>
    <x v="1"/>
    <x v="2"/>
    <x v="812"/>
    <n v="381"/>
    <n v="8"/>
    <x v="2"/>
    <n v="139.77600000000001"/>
    <n v="58.71"/>
    <s v="Low"/>
    <n v="2014"/>
  </r>
  <r>
    <s v="IN-2014-78116"/>
    <x v="637"/>
    <x v="333"/>
    <s v="Standard Class"/>
    <x v="548"/>
    <x v="2"/>
    <s v="Rajasthan"/>
    <s v="India"/>
    <s v="APAC"/>
    <x v="3"/>
    <s v="OFF-BI-10004700"/>
    <x v="0"/>
    <x v="0"/>
    <x v="813"/>
    <n v="46"/>
    <n v="3"/>
    <x v="1"/>
    <n v="13.32"/>
    <n v="2.56"/>
    <s v="Medium"/>
    <n v="2014"/>
  </r>
  <r>
    <s v="ID-2011-26596"/>
    <x v="623"/>
    <x v="674"/>
    <s v="Standard Class"/>
    <x v="263"/>
    <x v="1"/>
    <s v="F.C.T."/>
    <s v="Pakistan"/>
    <s v="APAC"/>
    <x v="3"/>
    <s v="OFF-LA-10003236"/>
    <x v="0"/>
    <x v="4"/>
    <x v="814"/>
    <n v="5"/>
    <n v="2"/>
    <x v="4"/>
    <n v="-1.5"/>
    <n v="0.35"/>
    <s v="Medium"/>
    <n v="2011"/>
  </r>
  <r>
    <s v="CA-2014-154116"/>
    <x v="610"/>
    <x v="650"/>
    <s v="Standard Class"/>
    <x v="433"/>
    <x v="2"/>
    <s v="California"/>
    <s v="United States"/>
    <s v="US"/>
    <x v="7"/>
    <s v="OFF-PA-10004569"/>
    <x v="0"/>
    <x v="7"/>
    <x v="815"/>
    <n v="23"/>
    <n v="3"/>
    <x v="1"/>
    <n v="10.7301"/>
    <n v="1.83"/>
    <s v="High"/>
    <n v="2014"/>
  </r>
  <r>
    <s v="ES-2011-1460199"/>
    <x v="650"/>
    <x v="22"/>
    <s v="Standard Class"/>
    <x v="83"/>
    <x v="0"/>
    <s v="Lower Saxony"/>
    <s v="Germany"/>
    <s v="EU"/>
    <x v="2"/>
    <s v="OFF-BI-10000081"/>
    <x v="0"/>
    <x v="0"/>
    <x v="816"/>
    <n v="17"/>
    <n v="2"/>
    <x v="1"/>
    <n v="6.18"/>
    <n v="2.08"/>
    <s v="Medium"/>
    <n v="2011"/>
  </r>
  <r>
    <s v="SG-2014-3780"/>
    <x v="637"/>
    <x v="628"/>
    <s v="Standard Class"/>
    <x v="549"/>
    <x v="2"/>
    <s v="Dakar"/>
    <s v="Senegal"/>
    <s v="Africa"/>
    <x v="5"/>
    <s v="TEC-MOT-10001196"/>
    <x v="2"/>
    <x v="9"/>
    <x v="817"/>
    <n v="176"/>
    <n v="1"/>
    <x v="1"/>
    <n v="45.81"/>
    <n v="14.32"/>
    <s v="Medium"/>
    <n v="2014"/>
  </r>
  <r>
    <s v="ES-2011-4715440"/>
    <x v="651"/>
    <x v="678"/>
    <s v="Same Day"/>
    <x v="550"/>
    <x v="1"/>
    <s v="Hesse"/>
    <s v="Germany"/>
    <s v="EU"/>
    <x v="2"/>
    <s v="OFF-AR-10003113"/>
    <x v="0"/>
    <x v="5"/>
    <x v="818"/>
    <n v="24"/>
    <n v="2"/>
    <x v="1"/>
    <n v="10.02"/>
    <n v="0.31"/>
    <s v="Medium"/>
    <n v="2011"/>
  </r>
  <r>
    <s v="CA-2014-103443"/>
    <x v="652"/>
    <x v="659"/>
    <s v="Standard Class"/>
    <x v="536"/>
    <x v="2"/>
    <s v="New York"/>
    <s v="United States"/>
    <s v="US"/>
    <x v="12"/>
    <s v="OFF-ST-10002276"/>
    <x v="0"/>
    <x v="3"/>
    <x v="819"/>
    <n v="167"/>
    <n v="2"/>
    <x v="1"/>
    <n v="41.68"/>
    <n v="12.41"/>
    <s v="Medium"/>
    <n v="2014"/>
  </r>
  <r>
    <s v="IN-2014-23929"/>
    <x v="636"/>
    <x v="484"/>
    <s v="First Class"/>
    <x v="124"/>
    <x v="2"/>
    <s v="Heilongjiang"/>
    <s v="China"/>
    <s v="APAC"/>
    <x v="8"/>
    <s v="FUR-FU-10002648"/>
    <x v="1"/>
    <x v="2"/>
    <x v="3"/>
    <n v="48"/>
    <n v="2"/>
    <x v="1"/>
    <n v="23.28"/>
    <n v="9.27"/>
    <s v="High"/>
    <n v="2014"/>
  </r>
  <r>
    <s v="IN-2014-81532"/>
    <x v="637"/>
    <x v="628"/>
    <s v="Standard Class"/>
    <x v="19"/>
    <x v="0"/>
    <s v="New South Wales"/>
    <s v="Australia"/>
    <s v="APAC"/>
    <x v="9"/>
    <s v="OFF-AR-10001074"/>
    <x v="0"/>
    <x v="5"/>
    <x v="317"/>
    <n v="63"/>
    <n v="4"/>
    <x v="1"/>
    <n v="18.84"/>
    <n v="2.82"/>
    <s v="Medium"/>
    <n v="2014"/>
  </r>
  <r>
    <s v="IT-2013-5913315"/>
    <x v="616"/>
    <x v="665"/>
    <s v="Second Class"/>
    <x v="551"/>
    <x v="2"/>
    <s v="North Rhine-Westphalia"/>
    <s v="Germany"/>
    <s v="EU"/>
    <x v="2"/>
    <s v="FUR-CH-10003362"/>
    <x v="1"/>
    <x v="8"/>
    <x v="553"/>
    <n v="159"/>
    <n v="1"/>
    <x v="2"/>
    <n v="-3.0000000000000001E-3"/>
    <n v="3.04"/>
    <s v="Medium"/>
    <n v="2013"/>
  </r>
  <r>
    <s v="US-2014-147368"/>
    <x v="624"/>
    <x v="667"/>
    <s v="Standard Class"/>
    <x v="169"/>
    <x v="2"/>
    <s v="Ouest"/>
    <s v="Haiti"/>
    <s v="LATAM"/>
    <x v="11"/>
    <s v="OFF-ST-10002902"/>
    <x v="0"/>
    <x v="3"/>
    <x v="688"/>
    <n v="248"/>
    <n v="3"/>
    <x v="5"/>
    <n v="16.5"/>
    <n v="1.33"/>
    <s v="Medium"/>
    <n v="2014"/>
  </r>
  <r>
    <s v="US-2012-134558"/>
    <x v="653"/>
    <x v="687"/>
    <s v="Second Class"/>
    <x v="281"/>
    <x v="1"/>
    <s v="New Hampshire"/>
    <s v="United States"/>
    <s v="US"/>
    <x v="12"/>
    <s v="OFF-PA-10001184"/>
    <x v="0"/>
    <x v="7"/>
    <x v="820"/>
    <n v="30"/>
    <n v="5"/>
    <x v="1"/>
    <n v="14.651"/>
    <n v="2.95"/>
    <s v="High"/>
    <n v="2012"/>
  </r>
  <r>
    <s v="AJ-2014-6800"/>
    <x v="654"/>
    <x v="688"/>
    <s v="Standard Class"/>
    <x v="239"/>
    <x v="0"/>
    <s v="Baki"/>
    <s v="Azerbaijan"/>
    <s v="EMEA"/>
    <x v="4"/>
    <s v="FUR-DEF-10000720"/>
    <x v="1"/>
    <x v="2"/>
    <x v="258"/>
    <n v="44"/>
    <n v="1"/>
    <x v="1"/>
    <n v="15.84"/>
    <n v="3.66"/>
    <s v="Medium"/>
    <n v="2014"/>
  </r>
  <r>
    <s v="MX-2012-131128"/>
    <x v="653"/>
    <x v="689"/>
    <s v="Standard Class"/>
    <x v="552"/>
    <x v="2"/>
    <s v="Managua"/>
    <s v="Nicaragua"/>
    <s v="LATAM"/>
    <x v="2"/>
    <s v="OFF-FA-10004920"/>
    <x v="0"/>
    <x v="6"/>
    <x v="821"/>
    <n v="22"/>
    <n v="2"/>
    <x v="1"/>
    <n v="6.48"/>
    <n v="3.08"/>
    <s v="High"/>
    <n v="2012"/>
  </r>
  <r>
    <s v="IN-2012-29137"/>
    <x v="655"/>
    <x v="690"/>
    <s v="Standard Class"/>
    <x v="525"/>
    <x v="0"/>
    <s v="Western Australia"/>
    <s v="Australia"/>
    <s v="APAC"/>
    <x v="9"/>
    <s v="OFF-AR-10003875"/>
    <x v="0"/>
    <x v="5"/>
    <x v="822"/>
    <n v="27"/>
    <n v="2"/>
    <x v="2"/>
    <n v="-0.65400000000000003"/>
    <n v="1.59"/>
    <s v="Medium"/>
    <n v="2012"/>
  </r>
  <r>
    <s v="IN-2011-24832"/>
    <x v="656"/>
    <x v="691"/>
    <s v="Standard Class"/>
    <x v="553"/>
    <x v="2"/>
    <s v="Shanghai"/>
    <s v="China"/>
    <s v="APAC"/>
    <x v="8"/>
    <s v="OFF-PA-10004573"/>
    <x v="0"/>
    <x v="7"/>
    <x v="823"/>
    <n v="94"/>
    <n v="6"/>
    <x v="1"/>
    <n v="30.96"/>
    <n v="9.26"/>
    <s v="Medium"/>
    <n v="2011"/>
  </r>
  <r>
    <s v="MX-2013-108553"/>
    <x v="657"/>
    <x v="692"/>
    <s v="First Class"/>
    <x v="427"/>
    <x v="2"/>
    <s v="Managua"/>
    <s v="Nicaragua"/>
    <s v="LATAM"/>
    <x v="2"/>
    <s v="TEC-AC-10001756"/>
    <x v="2"/>
    <x v="11"/>
    <x v="560"/>
    <n v="86"/>
    <n v="3"/>
    <x v="1"/>
    <n v="36.96"/>
    <n v="11.77"/>
    <s v="Medium"/>
    <n v="2013"/>
  </r>
  <r>
    <s v="IN-2013-76835"/>
    <x v="614"/>
    <x v="654"/>
    <s v="Standard Class"/>
    <x v="554"/>
    <x v="2"/>
    <s v="Karnataka"/>
    <s v="India"/>
    <s v="APAC"/>
    <x v="3"/>
    <s v="OFF-PA-10000215"/>
    <x v="0"/>
    <x v="7"/>
    <x v="824"/>
    <n v="27"/>
    <n v="2"/>
    <x v="1"/>
    <n v="1.86"/>
    <n v="2.95"/>
    <s v="High"/>
    <n v="2013"/>
  </r>
  <r>
    <s v="MD-2013-5670"/>
    <x v="628"/>
    <x v="693"/>
    <s v="Second Class"/>
    <x v="115"/>
    <x v="1"/>
    <s v="Chisinau"/>
    <s v="Moldova"/>
    <s v="EMEA"/>
    <x v="4"/>
    <s v="FUR-BUS-10004854"/>
    <x v="1"/>
    <x v="13"/>
    <x v="825"/>
    <n v="173"/>
    <n v="1"/>
    <x v="1"/>
    <n v="53.49"/>
    <n v="19.28"/>
    <s v="High"/>
    <n v="2013"/>
  </r>
  <r>
    <s v="IT-2012-4790620"/>
    <x v="658"/>
    <x v="687"/>
    <s v="Second Class"/>
    <x v="555"/>
    <x v="1"/>
    <s v="Pays de la Loire"/>
    <s v="France"/>
    <s v="EU"/>
    <x v="2"/>
    <s v="TEC-CO-10000013"/>
    <x v="2"/>
    <x v="14"/>
    <x v="576"/>
    <n v="780"/>
    <n v="7"/>
    <x v="21"/>
    <n v="-535.22699999999998"/>
    <n v="113.83"/>
    <s v="High"/>
    <n v="2012"/>
  </r>
  <r>
    <s v="CA-2013-127775"/>
    <x v="647"/>
    <x v="347"/>
    <s v="Second Class"/>
    <x v="354"/>
    <x v="2"/>
    <s v="New York"/>
    <s v="United States"/>
    <s v="US"/>
    <x v="12"/>
    <s v="TEC-AC-10002402"/>
    <x v="2"/>
    <x v="11"/>
    <x v="502"/>
    <n v="240"/>
    <n v="3"/>
    <x v="1"/>
    <n v="71.991"/>
    <n v="79.709999999999994"/>
    <s v="Critical"/>
    <n v="2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D462A-E775-4F0D-AD59-B8B8833F80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7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4">
        <item x="5"/>
        <item x="10"/>
        <item x="11"/>
        <item x="2"/>
        <item x="3"/>
        <item x="12"/>
        <item x="4"/>
        <item x="6"/>
        <item x="8"/>
        <item x="9"/>
        <item x="1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14">
    <i>
      <x v="3"/>
    </i>
    <i>
      <x v="10"/>
    </i>
    <i>
      <x v="9"/>
    </i>
    <i>
      <x v="7"/>
    </i>
    <i>
      <x/>
    </i>
    <i>
      <x v="6"/>
    </i>
    <i>
      <x v="11"/>
    </i>
    <i>
      <x v="4"/>
    </i>
    <i>
      <x v="5"/>
    </i>
    <i>
      <x v="8"/>
    </i>
    <i>
      <x v="12"/>
    </i>
    <i>
      <x v="2"/>
    </i>
    <i>
      <x v="1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ABDA1-D728-4136-B5C1-C40E2131A89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7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4">
        <item x="5"/>
        <item x="10"/>
        <item x="11"/>
        <item x="2"/>
        <item x="3"/>
        <item x="12"/>
        <item x="4"/>
        <item x="6"/>
        <item x="8"/>
        <item x="9"/>
        <item x="1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  <pivotField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14">
    <i>
      <x/>
    </i>
    <i>
      <x v="3"/>
    </i>
    <i>
      <x v="10"/>
    </i>
    <i>
      <x v="7"/>
    </i>
    <i>
      <x v="8"/>
    </i>
    <i>
      <x v="5"/>
    </i>
    <i>
      <x v="4"/>
    </i>
    <i>
      <x v="6"/>
    </i>
    <i>
      <x v="9"/>
    </i>
    <i>
      <x v="12"/>
    </i>
    <i>
      <x v="2"/>
    </i>
    <i>
      <x v="1"/>
    </i>
    <i>
      <x v="11"/>
    </i>
    <i t="grand">
      <x/>
    </i>
  </rowItems>
  <colItems count="1">
    <i/>
  </colItems>
  <dataFields count="1">
    <dataField name="Sum of profit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A03DA-E5B3-4C22-A7DB-1BBF4B08F9B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7CEA4-F39E-4A13-B655-70578F2B472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  <pivotField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profit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92A0B-8615-48ED-897E-C6C55513E42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56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numFmtId="164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80935-2547-42D0-863C-F800C807B1E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827">
        <item x="394"/>
        <item x="548"/>
        <item x="185"/>
        <item x="517"/>
        <item x="694"/>
        <item x="732"/>
        <item x="552"/>
        <item x="227"/>
        <item x="105"/>
        <item x="203"/>
        <item x="645"/>
        <item x="709"/>
        <item x="287"/>
        <item x="19"/>
        <item x="191"/>
        <item x="71"/>
        <item x="658"/>
        <item x="235"/>
        <item x="260"/>
        <item x="181"/>
        <item x="161"/>
        <item x="643"/>
        <item x="463"/>
        <item x="821"/>
        <item x="657"/>
        <item x="492"/>
        <item x="400"/>
        <item x="464"/>
        <item x="136"/>
        <item x="166"/>
        <item x="211"/>
        <item x="55"/>
        <item x="561"/>
        <item x="484"/>
        <item x="508"/>
        <item x="487"/>
        <item x="129"/>
        <item x="355"/>
        <item x="99"/>
        <item x="389"/>
        <item x="399"/>
        <item x="41"/>
        <item x="93"/>
        <item x="672"/>
        <item x="717"/>
        <item x="739"/>
        <item x="812"/>
        <item x="752"/>
        <item x="126"/>
        <item x="104"/>
        <item x="116"/>
        <item x="784"/>
        <item x="720"/>
        <item x="740"/>
        <item x="679"/>
        <item x="393"/>
        <item x="433"/>
        <item x="750"/>
        <item x="539"/>
        <item x="241"/>
        <item x="690"/>
        <item x="608"/>
        <item x="322"/>
        <item x="244"/>
        <item x="62"/>
        <item x="246"/>
        <item x="649"/>
        <item x="747"/>
        <item x="424"/>
        <item x="620"/>
        <item x="665"/>
        <item x="659"/>
        <item x="96"/>
        <item x="179"/>
        <item x="198"/>
        <item x="333"/>
        <item x="761"/>
        <item x="95"/>
        <item x="551"/>
        <item x="164"/>
        <item x="437"/>
        <item x="654"/>
        <item x="549"/>
        <item x="616"/>
        <item x="751"/>
        <item x="100"/>
        <item x="292"/>
        <item x="302"/>
        <item x="587"/>
        <item x="728"/>
        <item x="639"/>
        <item x="39"/>
        <item x="111"/>
        <item x="11"/>
        <item x="398"/>
        <item x="626"/>
        <item x="168"/>
        <item x="636"/>
        <item x="53"/>
        <item x="689"/>
        <item x="662"/>
        <item x="522"/>
        <item x="22"/>
        <item x="467"/>
        <item x="622"/>
        <item x="581"/>
        <item x="793"/>
        <item x="128"/>
        <item x="772"/>
        <item x="584"/>
        <item x="307"/>
        <item x="457"/>
        <item x="713"/>
        <item x="303"/>
        <item x="356"/>
        <item x="601"/>
        <item x="442"/>
        <item x="119"/>
        <item x="313"/>
        <item x="496"/>
        <item x="538"/>
        <item x="757"/>
        <item x="697"/>
        <item x="216"/>
        <item x="768"/>
        <item x="783"/>
        <item x="425"/>
        <item x="505"/>
        <item x="685"/>
        <item x="774"/>
        <item x="515"/>
        <item x="186"/>
        <item x="64"/>
        <item x="711"/>
        <item x="354"/>
        <item x="533"/>
        <item x="29"/>
        <item x="680"/>
        <item x="45"/>
        <item x="777"/>
        <item x="632"/>
        <item x="773"/>
        <item x="224"/>
        <item x="718"/>
        <item x="818"/>
        <item x="200"/>
        <item x="811"/>
        <item x="472"/>
        <item x="494"/>
        <item x="32"/>
        <item x="10"/>
        <item x="776"/>
        <item x="723"/>
        <item x="742"/>
        <item x="798"/>
        <item x="42"/>
        <item x="219"/>
        <item x="478"/>
        <item x="521"/>
        <item x="792"/>
        <item x="238"/>
        <item x="600"/>
        <item x="465"/>
        <item x="263"/>
        <item x="634"/>
        <item x="314"/>
        <item x="318"/>
        <item x="576"/>
        <item x="163"/>
        <item x="233"/>
        <item x="103"/>
        <item x="127"/>
        <item x="480"/>
        <item x="635"/>
        <item x="295"/>
        <item x="565"/>
        <item x="604"/>
        <item x="794"/>
        <item x="825"/>
        <item x="308"/>
        <item x="49"/>
        <item x="575"/>
        <item x="801"/>
        <item x="615"/>
        <item x="725"/>
        <item x="764"/>
        <item x="289"/>
        <item x="531"/>
        <item x="271"/>
        <item x="291"/>
        <item x="663"/>
        <item x="63"/>
        <item x="396"/>
        <item x="432"/>
        <item x="593"/>
        <item x="0"/>
        <item x="249"/>
        <item x="2"/>
        <item x="192"/>
        <item x="266"/>
        <item x="813"/>
        <item x="134"/>
        <item x="519"/>
        <item x="625"/>
        <item x="681"/>
        <item x="736"/>
        <item x="610"/>
        <item x="228"/>
        <item x="187"/>
        <item x="213"/>
        <item x="589"/>
        <item x="692"/>
        <item x="124"/>
        <item x="669"/>
        <item x="499"/>
        <item x="18"/>
        <item x="748"/>
        <item x="15"/>
        <item x="583"/>
        <item x="334"/>
        <item x="28"/>
        <item x="379"/>
        <item x="637"/>
        <item x="177"/>
        <item x="568"/>
        <item x="175"/>
        <item x="722"/>
        <item x="791"/>
        <item x="386"/>
        <item x="766"/>
        <item x="143"/>
        <item x="578"/>
        <item x="234"/>
        <item x="698"/>
        <item x="501"/>
        <item x="269"/>
        <item x="259"/>
        <item x="592"/>
        <item x="176"/>
        <item x="518"/>
        <item x="603"/>
        <item x="258"/>
        <item x="315"/>
        <item x="544"/>
        <item x="391"/>
        <item x="446"/>
        <item x="148"/>
        <item x="653"/>
        <item x="343"/>
        <item x="767"/>
        <item x="345"/>
        <item x="12"/>
        <item x="286"/>
        <item x="809"/>
        <item x="79"/>
        <item x="59"/>
        <item x="9"/>
        <item x="461"/>
        <item x="824"/>
        <item x="631"/>
        <item x="731"/>
        <item x="782"/>
        <item x="409"/>
        <item x="319"/>
        <item x="262"/>
        <item x="223"/>
        <item x="609"/>
        <item x="265"/>
        <item x="431"/>
        <item x="272"/>
        <item x="402"/>
        <item x="239"/>
        <item x="353"/>
        <item x="352"/>
        <item x="427"/>
        <item x="523"/>
        <item x="40"/>
        <item x="361"/>
        <item x="803"/>
        <item x="90"/>
        <item x="585"/>
        <item x="346"/>
        <item x="474"/>
        <item x="383"/>
        <item x="556"/>
        <item x="196"/>
        <item x="805"/>
        <item x="56"/>
        <item x="326"/>
        <item x="749"/>
        <item x="456"/>
        <item x="328"/>
        <item x="704"/>
        <item x="823"/>
        <item x="514"/>
        <item x="459"/>
        <item x="787"/>
        <item x="133"/>
        <item x="525"/>
        <item x="157"/>
        <item x="559"/>
        <item x="36"/>
        <item x="605"/>
        <item x="395"/>
        <item x="737"/>
        <item x="454"/>
        <item x="806"/>
        <item x="408"/>
        <item x="86"/>
        <item x="188"/>
        <item x="684"/>
        <item x="342"/>
        <item x="623"/>
        <item x="309"/>
        <item x="367"/>
        <item x="170"/>
        <item x="82"/>
        <item x="66"/>
        <item x="20"/>
        <item x="688"/>
        <item x="789"/>
        <item x="434"/>
        <item x="703"/>
        <item x="460"/>
        <item x="274"/>
        <item x="199"/>
        <item x="745"/>
        <item x="242"/>
        <item x="613"/>
        <item x="268"/>
        <item x="511"/>
        <item x="74"/>
        <item x="795"/>
        <item x="243"/>
        <item x="562"/>
        <item x="411"/>
        <item x="452"/>
        <item x="209"/>
        <item x="204"/>
        <item x="226"/>
        <item x="60"/>
        <item x="419"/>
        <item x="624"/>
        <item x="208"/>
        <item x="160"/>
        <item x="656"/>
        <item x="73"/>
        <item x="397"/>
        <item x="412"/>
        <item x="252"/>
        <item x="555"/>
        <item x="385"/>
        <item x="667"/>
        <item x="276"/>
        <item x="158"/>
        <item x="781"/>
        <item x="154"/>
        <item x="220"/>
        <item x="441"/>
        <item x="638"/>
        <item x="633"/>
        <item x="473"/>
        <item x="253"/>
        <item x="557"/>
        <item x="341"/>
        <item x="444"/>
        <item x="507"/>
        <item x="546"/>
        <item x="184"/>
        <item x="357"/>
        <item x="368"/>
        <item x="247"/>
        <item x="310"/>
        <item x="416"/>
        <item x="392"/>
        <item x="381"/>
        <item x="350"/>
        <item x="611"/>
        <item x="430"/>
        <item x="69"/>
        <item x="50"/>
        <item x="84"/>
        <item x="506"/>
        <item x="296"/>
        <item x="498"/>
        <item x="201"/>
        <item x="273"/>
        <item x="436"/>
        <item x="255"/>
        <item x="479"/>
        <item x="117"/>
        <item x="37"/>
        <item x="67"/>
        <item x="542"/>
        <item x="640"/>
        <item x="526"/>
        <item x="450"/>
        <item x="6"/>
        <item x="447"/>
        <item x="26"/>
        <item x="340"/>
        <item x="270"/>
        <item x="706"/>
        <item x="735"/>
        <item x="814"/>
        <item x="339"/>
        <item x="458"/>
        <item x="324"/>
        <item x="532"/>
        <item x="167"/>
        <item x="304"/>
        <item x="145"/>
        <item x="594"/>
        <item x="802"/>
        <item x="33"/>
        <item x="347"/>
        <item x="547"/>
        <item x="147"/>
        <item x="438"/>
        <item x="327"/>
        <item x="738"/>
        <item x="1"/>
        <item x="205"/>
        <item x="628"/>
        <item x="370"/>
        <item x="807"/>
        <item x="554"/>
        <item x="726"/>
        <item x="320"/>
        <item x="422"/>
        <item x="695"/>
        <item x="206"/>
        <item x="325"/>
        <item x="240"/>
        <item x="661"/>
        <item x="778"/>
        <item x="483"/>
        <item x="414"/>
        <item x="110"/>
        <item x="281"/>
        <item x="769"/>
        <item x="178"/>
        <item x="54"/>
        <item x="429"/>
        <item x="816"/>
        <item x="365"/>
        <item x="780"/>
        <item x="629"/>
        <item x="231"/>
        <item x="298"/>
        <item x="570"/>
        <item x="683"/>
        <item x="509"/>
        <item x="311"/>
        <item x="453"/>
        <item x="744"/>
        <item x="426"/>
        <item x="214"/>
        <item x="140"/>
        <item x="466"/>
        <item x="207"/>
        <item x="618"/>
        <item x="68"/>
        <item x="804"/>
        <item x="165"/>
        <item x="87"/>
        <item x="78"/>
        <item x="377"/>
        <item x="489"/>
        <item x="61"/>
        <item x="306"/>
        <item x="275"/>
        <item x="189"/>
        <item x="729"/>
        <item x="360"/>
        <item x="254"/>
        <item x="743"/>
        <item x="808"/>
        <item x="81"/>
        <item x="788"/>
        <item x="283"/>
        <item x="210"/>
        <item x="174"/>
        <item x="443"/>
        <item x="597"/>
        <item x="156"/>
        <item x="724"/>
        <item x="579"/>
        <item x="248"/>
        <item x="47"/>
        <item x="534"/>
        <item x="693"/>
        <item x="373"/>
        <item x="477"/>
        <item x="691"/>
        <item x="197"/>
        <item x="607"/>
        <item x="493"/>
        <item x="172"/>
        <item x="530"/>
        <item x="76"/>
        <item x="810"/>
        <item x="586"/>
        <item x="800"/>
        <item x="149"/>
        <item x="297"/>
        <item x="121"/>
        <item x="560"/>
        <item x="118"/>
        <item x="785"/>
        <item x="130"/>
        <item x="468"/>
        <item x="363"/>
        <item x="344"/>
        <item x="817"/>
        <item x="301"/>
        <item x="321"/>
        <item x="35"/>
        <item x="293"/>
        <item x="27"/>
        <item x="236"/>
        <item x="195"/>
        <item x="476"/>
        <item x="98"/>
        <item x="115"/>
        <item x="642"/>
        <item x="335"/>
        <item x="101"/>
        <item x="369"/>
        <item x="451"/>
        <item x="257"/>
        <item x="765"/>
        <item x="455"/>
        <item x="16"/>
        <item x="435"/>
        <item x="404"/>
        <item x="376"/>
        <item x="651"/>
        <item x="159"/>
        <item x="705"/>
        <item x="330"/>
        <item x="190"/>
        <item x="756"/>
        <item x="641"/>
        <item x="571"/>
        <item x="135"/>
        <item x="504"/>
        <item x="14"/>
        <item x="52"/>
        <item x="762"/>
        <item x="707"/>
        <item x="102"/>
        <item x="113"/>
        <item x="387"/>
        <item x="699"/>
        <item x="482"/>
        <item x="420"/>
        <item x="553"/>
        <item x="727"/>
        <item x="730"/>
        <item x="786"/>
        <item x="540"/>
        <item x="348"/>
        <item x="660"/>
        <item x="415"/>
        <item x="290"/>
        <item x="410"/>
        <item x="621"/>
        <item x="384"/>
        <item x="406"/>
        <item x="217"/>
        <item x="362"/>
        <item x="598"/>
        <item x="72"/>
        <item x="337"/>
        <item x="212"/>
        <item x="428"/>
        <item x="513"/>
        <item x="445"/>
        <item x="229"/>
        <item x="710"/>
        <item x="602"/>
        <item x="733"/>
        <item x="700"/>
        <item x="24"/>
        <item x="284"/>
        <item x="245"/>
        <item x="734"/>
        <item x="677"/>
        <item x="758"/>
        <item x="569"/>
        <item x="305"/>
        <item x="80"/>
        <item x="746"/>
        <item x="771"/>
        <item x="43"/>
        <item x="366"/>
        <item x="502"/>
        <item x="673"/>
        <item x="573"/>
        <item x="630"/>
        <item x="648"/>
        <item x="112"/>
        <item x="614"/>
        <item x="222"/>
        <item x="51"/>
        <item x="545"/>
        <item x="760"/>
        <item x="449"/>
        <item x="123"/>
        <item x="131"/>
        <item x="741"/>
        <item x="13"/>
        <item x="550"/>
        <item x="150"/>
        <item x="524"/>
        <item x="401"/>
        <item x="650"/>
        <item x="146"/>
        <item x="567"/>
        <item x="3"/>
        <item x="475"/>
        <item x="721"/>
        <item x="572"/>
        <item x="162"/>
        <item x="590"/>
        <item x="647"/>
        <item x="423"/>
        <item x="510"/>
        <item x="277"/>
        <item x="574"/>
        <item x="580"/>
        <item x="470"/>
        <item x="755"/>
        <item x="819"/>
        <item x="83"/>
        <item x="535"/>
        <item x="529"/>
        <item x="407"/>
        <item x="666"/>
        <item x="193"/>
        <item x="670"/>
        <item x="46"/>
        <item x="612"/>
        <item x="122"/>
        <item x="65"/>
        <item x="91"/>
        <item x="796"/>
        <item x="481"/>
        <item x="38"/>
        <item x="763"/>
        <item x="141"/>
        <item x="108"/>
        <item x="686"/>
        <item x="491"/>
        <item x="137"/>
        <item x="169"/>
        <item x="606"/>
        <item x="183"/>
        <item x="486"/>
        <item x="372"/>
        <item x="671"/>
        <item x="153"/>
        <item x="139"/>
        <item x="537"/>
        <item x="797"/>
        <item x="317"/>
        <item x="421"/>
        <item x="97"/>
        <item x="171"/>
        <item x="280"/>
        <item x="88"/>
        <item x="30"/>
        <item x="582"/>
        <item x="21"/>
        <item x="488"/>
        <item x="349"/>
        <item x="77"/>
        <item x="279"/>
        <item x="89"/>
        <item x="282"/>
        <item x="34"/>
        <item x="503"/>
        <item x="285"/>
        <item x="155"/>
        <item x="152"/>
        <item x="58"/>
        <item x="75"/>
        <item x="528"/>
        <item x="225"/>
        <item x="25"/>
        <item x="331"/>
        <item x="655"/>
        <item x="299"/>
        <item x="652"/>
        <item x="599"/>
        <item x="790"/>
        <item x="180"/>
        <item x="132"/>
        <item x="288"/>
        <item x="5"/>
        <item x="142"/>
        <item x="485"/>
        <item x="495"/>
        <item x="497"/>
        <item x="336"/>
        <item x="440"/>
        <item x="294"/>
        <item x="323"/>
        <item x="413"/>
        <item x="754"/>
        <item x="17"/>
        <item x="675"/>
        <item x="708"/>
        <item x="527"/>
        <item x="617"/>
        <item x="358"/>
        <item x="822"/>
        <item x="173"/>
        <item x="7"/>
        <item x="471"/>
        <item x="799"/>
        <item x="144"/>
        <item x="591"/>
        <item x="109"/>
        <item x="194"/>
        <item x="627"/>
        <item x="687"/>
        <item x="107"/>
        <item x="753"/>
        <item x="664"/>
        <item x="577"/>
        <item x="595"/>
        <item x="92"/>
        <item x="500"/>
        <item x="70"/>
        <item x="418"/>
        <item x="378"/>
        <item x="719"/>
        <item x="232"/>
        <item x="714"/>
        <item x="619"/>
        <item x="490"/>
        <item x="8"/>
        <item x="278"/>
        <item x="351"/>
        <item x="106"/>
        <item x="215"/>
        <item x="712"/>
        <item x="31"/>
        <item x="138"/>
        <item x="701"/>
        <item x="359"/>
        <item x="439"/>
        <item x="448"/>
        <item x="251"/>
        <item x="182"/>
        <item x="261"/>
        <item x="674"/>
        <item x="388"/>
        <item x="770"/>
        <item x="221"/>
        <item x="316"/>
        <item x="125"/>
        <item x="332"/>
        <item x="759"/>
        <item x="4"/>
        <item x="374"/>
        <item x="566"/>
        <item x="23"/>
        <item x="779"/>
        <item x="716"/>
        <item x="596"/>
        <item x="462"/>
        <item x="380"/>
        <item x="715"/>
        <item x="364"/>
        <item x="202"/>
        <item x="382"/>
        <item x="120"/>
        <item x="541"/>
        <item x="558"/>
        <item x="312"/>
        <item x="338"/>
        <item x="218"/>
        <item x="85"/>
        <item x="250"/>
        <item x="588"/>
        <item x="151"/>
        <item x="536"/>
        <item x="44"/>
        <item x="516"/>
        <item x="678"/>
        <item x="417"/>
        <item x="682"/>
        <item x="815"/>
        <item x="237"/>
        <item x="230"/>
        <item x="390"/>
        <item x="329"/>
        <item x="820"/>
        <item x="696"/>
        <item x="644"/>
        <item x="405"/>
        <item x="371"/>
        <item x="563"/>
        <item x="512"/>
        <item x="267"/>
        <item x="94"/>
        <item x="543"/>
        <item x="256"/>
        <item x="300"/>
        <item x="264"/>
        <item x="469"/>
        <item x="676"/>
        <item x="564"/>
        <item x="646"/>
        <item x="375"/>
        <item x="403"/>
        <item x="57"/>
        <item x="775"/>
        <item x="520"/>
        <item x="114"/>
        <item x="48"/>
        <item x="702"/>
        <item x="6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numFmtId="164"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11">
    <i>
      <x v="395"/>
    </i>
    <i>
      <x v="362"/>
    </i>
    <i>
      <x v="636"/>
    </i>
    <i>
      <x v="180"/>
    </i>
    <i>
      <x v="163"/>
    </i>
    <i>
      <x v="521"/>
    </i>
    <i>
      <x v="520"/>
    </i>
    <i>
      <x v="221"/>
    </i>
    <i>
      <x v="114"/>
    </i>
    <i>
      <x v="321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AB950-C5D0-45F2-8390-118C702DC1A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axis="axisRow" showAll="0" measureFilter="1" sortType="descending">
      <items count="557">
        <item x="25"/>
        <item x="184"/>
        <item x="311"/>
        <item x="283"/>
        <item x="265"/>
        <item x="357"/>
        <item x="179"/>
        <item x="62"/>
        <item x="286"/>
        <item x="26"/>
        <item x="3"/>
        <item x="375"/>
        <item x="482"/>
        <item x="476"/>
        <item x="223"/>
        <item x="400"/>
        <item x="70"/>
        <item x="512"/>
        <item x="444"/>
        <item x="367"/>
        <item x="136"/>
        <item x="237"/>
        <item x="426"/>
        <item x="358"/>
        <item x="423"/>
        <item x="166"/>
        <item x="4"/>
        <item x="252"/>
        <item x="294"/>
        <item x="317"/>
        <item x="377"/>
        <item x="247"/>
        <item x="240"/>
        <item x="169"/>
        <item x="216"/>
        <item x="300"/>
        <item x="397"/>
        <item x="507"/>
        <item x="536"/>
        <item x="303"/>
        <item x="498"/>
        <item x="509"/>
        <item x="213"/>
        <item x="160"/>
        <item x="79"/>
        <item x="158"/>
        <item x="382"/>
        <item x="277"/>
        <item x="434"/>
        <item x="164"/>
        <item x="408"/>
        <item x="35"/>
        <item x="541"/>
        <item x="465"/>
        <item x="345"/>
        <item x="534"/>
        <item x="107"/>
        <item x="466"/>
        <item x="525"/>
        <item x="270"/>
        <item x="391"/>
        <item x="104"/>
        <item x="279"/>
        <item x="147"/>
        <item x="532"/>
        <item x="210"/>
        <item x="80"/>
        <item x="343"/>
        <item x="315"/>
        <item x="172"/>
        <item x="339"/>
        <item x="94"/>
        <item x="488"/>
        <item x="68"/>
        <item x="258"/>
        <item x="552"/>
        <item x="37"/>
        <item x="486"/>
        <item x="414"/>
        <item x="23"/>
        <item x="503"/>
        <item x="276"/>
        <item x="194"/>
        <item x="143"/>
        <item x="243"/>
        <item x="207"/>
        <item x="228"/>
        <item x="245"/>
        <item x="381"/>
        <item x="418"/>
        <item x="483"/>
        <item x="458"/>
        <item x="93"/>
        <item x="553"/>
        <item x="501"/>
        <item x="450"/>
        <item x="551"/>
        <item x="494"/>
        <item x="528"/>
        <item x="443"/>
        <item x="168"/>
        <item x="125"/>
        <item x="208"/>
        <item x="163"/>
        <item x="475"/>
        <item x="269"/>
        <item x="398"/>
        <item x="204"/>
        <item x="195"/>
        <item x="406"/>
        <item x="271"/>
        <item x="101"/>
        <item x="515"/>
        <item x="218"/>
        <item x="7"/>
        <item x="293"/>
        <item x="392"/>
        <item x="99"/>
        <item x="111"/>
        <item x="356"/>
        <item x="388"/>
        <item x="363"/>
        <item x="189"/>
        <item x="497"/>
        <item x="429"/>
        <item x="199"/>
        <item x="495"/>
        <item x="244"/>
        <item x="10"/>
        <item x="396"/>
        <item x="19"/>
        <item x="206"/>
        <item x="109"/>
        <item x="211"/>
        <item x="232"/>
        <item x="376"/>
        <item x="288"/>
        <item x="318"/>
        <item x="239"/>
        <item x="365"/>
        <item x="548"/>
        <item x="151"/>
        <item x="338"/>
        <item x="53"/>
        <item x="353"/>
        <item x="34"/>
        <item x="257"/>
        <item x="124"/>
        <item x="321"/>
        <item x="440"/>
        <item x="304"/>
        <item x="174"/>
        <item x="468"/>
        <item x="360"/>
        <item x="420"/>
        <item x="302"/>
        <item x="349"/>
        <item x="452"/>
        <item x="16"/>
        <item x="500"/>
        <item x="154"/>
        <item x="102"/>
        <item x="461"/>
        <item x="132"/>
        <item x="106"/>
        <item x="395"/>
        <item x="329"/>
        <item x="155"/>
        <item x="464"/>
        <item x="54"/>
        <item x="379"/>
        <item x="340"/>
        <item x="298"/>
        <item x="152"/>
        <item x="128"/>
        <item x="63"/>
        <item x="197"/>
        <item x="221"/>
        <item x="386"/>
        <item x="1"/>
        <item x="87"/>
        <item x="260"/>
        <item x="310"/>
        <item x="191"/>
        <item x="511"/>
        <item x="61"/>
        <item x="354"/>
        <item x="121"/>
        <item x="41"/>
        <item x="309"/>
        <item x="282"/>
        <item x="110"/>
        <item x="14"/>
        <item x="292"/>
        <item x="306"/>
        <item x="369"/>
        <item x="229"/>
        <item x="108"/>
        <item x="405"/>
        <item x="156"/>
        <item x="238"/>
        <item x="297"/>
        <item x="43"/>
        <item x="284"/>
        <item x="384"/>
        <item x="546"/>
        <item x="181"/>
        <item x="84"/>
        <item x="407"/>
        <item x="506"/>
        <item x="272"/>
        <item x="159"/>
        <item x="64"/>
        <item x="526"/>
        <item x="227"/>
        <item x="543"/>
        <item x="362"/>
        <item x="313"/>
        <item x="230"/>
        <item x="312"/>
        <item x="52"/>
        <item x="399"/>
        <item x="15"/>
        <item x="538"/>
        <item x="5"/>
        <item x="455"/>
        <item x="314"/>
        <item x="374"/>
        <item x="45"/>
        <item x="202"/>
        <item x="522"/>
        <item x="13"/>
        <item x="231"/>
        <item x="421"/>
        <item x="334"/>
        <item x="499"/>
        <item x="137"/>
        <item x="439"/>
        <item x="508"/>
        <item x="266"/>
        <item x="116"/>
        <item x="92"/>
        <item x="69"/>
        <item x="373"/>
        <item x="478"/>
        <item x="91"/>
        <item x="430"/>
        <item x="185"/>
        <item x="389"/>
        <item x="424"/>
        <item x="505"/>
        <item x="510"/>
        <item x="404"/>
        <item x="220"/>
        <item x="29"/>
        <item x="540"/>
        <item x="255"/>
        <item x="58"/>
        <item x="144"/>
        <item x="409"/>
        <item x="2"/>
        <item x="380"/>
        <item x="98"/>
        <item x="333"/>
        <item x="371"/>
        <item x="214"/>
        <item x="145"/>
        <item x="490"/>
        <item x="59"/>
        <item x="32"/>
        <item x="170"/>
        <item x="273"/>
        <item x="66"/>
        <item x="264"/>
        <item x="55"/>
        <item x="140"/>
        <item x="8"/>
        <item x="224"/>
        <item x="226"/>
        <item x="193"/>
        <item x="133"/>
        <item x="335"/>
        <item x="323"/>
        <item x="514"/>
        <item x="341"/>
        <item x="11"/>
        <item x="416"/>
        <item x="290"/>
        <item x="72"/>
        <item x="527"/>
        <item x="9"/>
        <item x="296"/>
        <item x="82"/>
        <item x="131"/>
        <item x="491"/>
        <item x="487"/>
        <item x="142"/>
        <item x="287"/>
        <item x="504"/>
        <item x="6"/>
        <item x="301"/>
        <item x="372"/>
        <item x="234"/>
        <item x="342"/>
        <item x="472"/>
        <item x="90"/>
        <item x="530"/>
        <item x="186"/>
        <item x="268"/>
        <item x="148"/>
        <item x="60"/>
        <item x="449"/>
        <item x="249"/>
        <item x="346"/>
        <item x="425"/>
        <item x="289"/>
        <item x="433"/>
        <item x="119"/>
        <item x="44"/>
        <item x="477"/>
        <item x="456"/>
        <item x="437"/>
        <item x="291"/>
        <item x="225"/>
        <item x="352"/>
        <item x="348"/>
        <item x="451"/>
        <item x="299"/>
        <item x="222"/>
        <item x="484"/>
        <item x="427"/>
        <item x="180"/>
        <item x="474"/>
        <item x="520"/>
        <item x="473"/>
        <item x="517"/>
        <item x="153"/>
        <item x="336"/>
        <item x="173"/>
        <item x="355"/>
        <item x="361"/>
        <item x="320"/>
        <item x="470"/>
        <item x="502"/>
        <item x="65"/>
        <item x="278"/>
        <item x="77"/>
        <item x="547"/>
        <item x="493"/>
        <item x="241"/>
        <item x="295"/>
        <item x="95"/>
        <item x="387"/>
        <item x="88"/>
        <item x="217"/>
        <item x="176"/>
        <item x="521"/>
        <item x="236"/>
        <item x="187"/>
        <item x="141"/>
        <item x="212"/>
        <item x="459"/>
        <item x="325"/>
        <item x="518"/>
        <item x="327"/>
        <item x="139"/>
        <item x="555"/>
        <item x="285"/>
        <item x="337"/>
        <item x="545"/>
        <item x="316"/>
        <item x="308"/>
        <item x="89"/>
        <item x="122"/>
        <item x="307"/>
        <item x="322"/>
        <item x="368"/>
        <item x="39"/>
        <item x="351"/>
        <item x="71"/>
        <item x="105"/>
        <item x="447"/>
        <item x="120"/>
        <item x="438"/>
        <item x="330"/>
        <item x="441"/>
        <item x="190"/>
        <item x="280"/>
        <item x="74"/>
        <item x="410"/>
        <item x="233"/>
        <item x="100"/>
        <item x="198"/>
        <item x="30"/>
        <item x="453"/>
        <item x="328"/>
        <item x="203"/>
        <item x="454"/>
        <item x="123"/>
        <item x="78"/>
        <item x="12"/>
        <item x="326"/>
        <item x="550"/>
        <item x="467"/>
        <item x="385"/>
        <item x="135"/>
        <item x="0"/>
        <item x="262"/>
        <item x="305"/>
        <item x="75"/>
        <item x="200"/>
        <item x="383"/>
        <item x="67"/>
        <item x="446"/>
        <item x="415"/>
        <item x="188"/>
        <item x="479"/>
        <item x="519"/>
        <item x="492"/>
        <item x="274"/>
        <item x="38"/>
        <item x="246"/>
        <item x="81"/>
        <item x="544"/>
        <item x="112"/>
        <item x="134"/>
        <item x="76"/>
        <item x="332"/>
        <item x="411"/>
        <item x="393"/>
        <item x="281"/>
        <item x="146"/>
        <item x="417"/>
        <item x="523"/>
        <item x="138"/>
        <item x="157"/>
        <item x="86"/>
        <item x="554"/>
        <item x="118"/>
        <item x="533"/>
        <item x="127"/>
        <item x="364"/>
        <item x="175"/>
        <item x="242"/>
        <item x="412"/>
        <item x="419"/>
        <item x="165"/>
        <item x="196"/>
        <item x="235"/>
        <item x="31"/>
        <item x="370"/>
        <item x="177"/>
        <item x="113"/>
        <item x="542"/>
        <item x="259"/>
        <item x="103"/>
        <item x="537"/>
        <item x="130"/>
        <item x="97"/>
        <item x="47"/>
        <item x="428"/>
        <item x="51"/>
        <item x="539"/>
        <item x="115"/>
        <item x="344"/>
        <item x="431"/>
        <item x="83"/>
        <item x="516"/>
        <item x="24"/>
        <item x="126"/>
        <item x="529"/>
        <item x="20"/>
        <item x="394"/>
        <item x="401"/>
        <item x="18"/>
        <item x="192"/>
        <item x="183"/>
        <item x="448"/>
        <item x="331"/>
        <item x="263"/>
        <item x="390"/>
        <item x="248"/>
        <item x="460"/>
        <item x="48"/>
        <item x="205"/>
        <item x="96"/>
        <item x="402"/>
        <item x="85"/>
        <item x="324"/>
        <item x="161"/>
        <item x="413"/>
        <item x="513"/>
        <item x="462"/>
        <item x="267"/>
        <item x="36"/>
        <item x="366"/>
        <item x="201"/>
        <item x="319"/>
        <item x="457"/>
        <item x="471"/>
        <item x="422"/>
        <item x="42"/>
        <item x="436"/>
        <item x="524"/>
        <item x="178"/>
        <item x="496"/>
        <item x="129"/>
        <item x="57"/>
        <item x="46"/>
        <item x="49"/>
        <item x="182"/>
        <item x="347"/>
        <item x="17"/>
        <item x="256"/>
        <item x="33"/>
        <item x="254"/>
        <item x="21"/>
        <item x="209"/>
        <item x="162"/>
        <item x="219"/>
        <item x="73"/>
        <item x="250"/>
        <item x="469"/>
        <item x="445"/>
        <item x="167"/>
        <item x="463"/>
        <item x="350"/>
        <item x="485"/>
        <item x="359"/>
        <item x="215"/>
        <item x="481"/>
        <item x="275"/>
        <item x="251"/>
        <item x="432"/>
        <item x="114"/>
        <item x="480"/>
        <item x="253"/>
        <item x="531"/>
        <item x="489"/>
        <item x="149"/>
        <item x="40"/>
        <item x="27"/>
        <item x="150"/>
        <item x="28"/>
        <item x="549"/>
        <item x="403"/>
        <item x="50"/>
        <item x="435"/>
        <item x="56"/>
        <item x="117"/>
        <item x="535"/>
        <item x="22"/>
        <item x="442"/>
        <item x="171"/>
        <item x="378"/>
        <item x="2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numFmtId="164"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11">
    <i>
      <x v="230"/>
    </i>
    <i>
      <x v="414"/>
    </i>
    <i>
      <x v="36"/>
    </i>
    <i>
      <x v="551"/>
    </i>
    <i>
      <x v="407"/>
    </i>
    <i>
      <x v="274"/>
    </i>
    <i>
      <x v="171"/>
    </i>
    <i>
      <x v="331"/>
    </i>
    <i>
      <x v="455"/>
    </i>
    <i>
      <x v="483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D693E-852A-4812-99B2-24E9E0187B7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numFmtId="164"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D40E9-517D-4F72-94BC-BF3E9C58ECF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  <pivotField numFmtId="164"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284A4-ECD9-4D41-95C0-3FB26BD0D5A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1"/>
        <item x="5"/>
        <item x="0"/>
        <item x="13"/>
        <item x="8"/>
        <item x="14"/>
        <item x="16"/>
        <item x="6"/>
        <item x="2"/>
        <item x="4"/>
        <item x="10"/>
        <item x="7"/>
        <item x="9"/>
        <item x="3"/>
        <item x="15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numFmtId="164"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2"/>
  </rowFields>
  <rowItems count="18">
    <i>
      <x v="13"/>
    </i>
    <i>
      <x v="5"/>
    </i>
    <i>
      <x v="1"/>
    </i>
    <i>
      <x v="4"/>
    </i>
    <i>
      <x v="6"/>
    </i>
    <i>
      <x v="14"/>
    </i>
    <i>
      <x/>
    </i>
    <i>
      <x v="11"/>
    </i>
    <i>
      <x v="16"/>
    </i>
    <i>
      <x v="3"/>
    </i>
    <i>
      <x v="2"/>
    </i>
    <i>
      <x v="9"/>
    </i>
    <i>
      <x v="12"/>
    </i>
    <i>
      <x v="15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0B81A-0F3C-4BA7-BB7D-F0C7AB52663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1"/>
        <item x="5"/>
        <item x="0"/>
        <item x="13"/>
        <item x="8"/>
        <item x="14"/>
        <item x="16"/>
        <item x="6"/>
        <item x="2"/>
        <item x="4"/>
        <item x="10"/>
        <item x="7"/>
        <item x="9"/>
        <item x="3"/>
        <item x="15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  <pivotField numFmtId="164"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2"/>
  </rowFields>
  <rowItems count="18">
    <i>
      <x v="13"/>
    </i>
    <i>
      <x v="1"/>
    </i>
    <i>
      <x/>
    </i>
    <i>
      <x v="4"/>
    </i>
    <i>
      <x v="14"/>
    </i>
    <i>
      <x v="3"/>
    </i>
    <i>
      <x v="6"/>
    </i>
    <i>
      <x v="12"/>
    </i>
    <i>
      <x v="9"/>
    </i>
    <i>
      <x v="11"/>
    </i>
    <i>
      <x v="2"/>
    </i>
    <i>
      <x v="15"/>
    </i>
    <i>
      <x v="7"/>
    </i>
    <i>
      <x v="5"/>
    </i>
    <i>
      <x v="10"/>
    </i>
    <i>
      <x v="8"/>
    </i>
    <i>
      <x v="16"/>
    </i>
    <i t="grand">
      <x/>
    </i>
  </rowItems>
  <colItems count="1">
    <i/>
  </colItems>
  <dataFields count="1">
    <dataField name="Sum of profit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69878-6C85-46BB-A175-5A9EBFFF3AA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Row"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  <pivotField numFmtId="164"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rofit" fld="17" subtotal="average" baseField="1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BEDA8A-3411-4312-8557-1E7DC087BFC3}" name="Orders" displayName="Orders" ref="A1:U1001" totalsRowShown="0">
  <autoFilter ref="A1:U1001" xr:uid="{C3BEDA8A-3411-4312-8557-1E7DC087BFC3}"/>
  <tableColumns count="21">
    <tableColumn id="1" xr3:uid="{1AF8778B-A6EB-43C5-9C89-A410CCD05EB7}" name="order_id"/>
    <tableColumn id="2" xr3:uid="{FCB3E832-BB75-4E49-A992-305709B82D2F}" name="order_date" dataDxfId="5"/>
    <tableColumn id="3" xr3:uid="{12853957-BD2F-4048-92B1-2A5C5743ACE2}" name="ship_date" dataDxfId="4"/>
    <tableColumn id="4" xr3:uid="{7DCDF3B8-B953-4BD2-B3D4-4ED715C322B6}" name="ship_mode"/>
    <tableColumn id="5" xr3:uid="{173FD5DF-D8E8-4839-9637-117763CB9EA4}" name="customer_name"/>
    <tableColumn id="6" xr3:uid="{E1E82768-CFA8-4B7B-A6EF-1B7C1820D7A7}" name="segment"/>
    <tableColumn id="7" xr3:uid="{A18AEE63-9E9F-4F0E-817E-740508C8BCDC}" name="state"/>
    <tableColumn id="8" xr3:uid="{8D23E0BC-52ED-4FB1-80D2-D4783D368333}" name="country"/>
    <tableColumn id="9" xr3:uid="{7ECFA67C-4F64-4521-845E-99D3E32A92C6}" name="market"/>
    <tableColumn id="10" xr3:uid="{03DAB423-10F1-4F9E-AE71-FB7C80BB9CBD}" name="region"/>
    <tableColumn id="11" xr3:uid="{41F9F886-C0D9-42D5-9457-519CB0817315}" name="product_id"/>
    <tableColumn id="12" xr3:uid="{FABAE779-18D9-40AE-8278-CA60D8EED183}" name="category"/>
    <tableColumn id="13" xr3:uid="{5F08FB92-4665-475F-8C02-DB8DBFB31B46}" name="sub_category"/>
    <tableColumn id="14" xr3:uid="{32BA3D4E-A5CE-4744-ABDD-31F4B0FF3389}" name="product_name"/>
    <tableColumn id="15" xr3:uid="{03076B07-1436-4CBB-9AC4-6DA750B72318}" name="sales" dataDxfId="3"/>
    <tableColumn id="16" xr3:uid="{2FEC5AC4-81B2-4654-AEDD-50B9F9719D7E}" name="quantity"/>
    <tableColumn id="17" xr3:uid="{95D38DBA-6648-4777-9976-E5A49DB0C548}" name="discount" dataDxfId="2"/>
    <tableColumn id="18" xr3:uid="{9E0EA27E-2E03-42E3-85D7-4A6E3944F374}" name="profit" dataDxfId="1"/>
    <tableColumn id="19" xr3:uid="{6731D666-BC3A-45C5-BC87-43B2C5014A6E}" name="shipping_cost" dataDxfId="0"/>
    <tableColumn id="20" xr3:uid="{AC54A3DC-5005-431B-806C-53BA78B16234}" name="order_priority"/>
    <tableColumn id="21" xr3:uid="{E8A9E394-A5CF-47FA-B627-431F5902C9FC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2EF8-AE3C-4FCD-81B5-70B3E8429E85}">
  <dimension ref="A1:B7"/>
  <sheetViews>
    <sheetView workbookViewId="0"/>
  </sheetViews>
  <sheetFormatPr defaultRowHeight="14.4" x14ac:dyDescent="0.3"/>
  <cols>
    <col min="1" max="1" width="13.88671875" customWidth="1"/>
    <col min="2" max="2" width="17.6640625" customWidth="1"/>
  </cols>
  <sheetData>
    <row r="1" spans="1:2" x14ac:dyDescent="0.3">
      <c r="A1" t="s">
        <v>3917</v>
      </c>
    </row>
    <row r="2" spans="1:2" x14ac:dyDescent="0.3">
      <c r="A2" t="s">
        <v>3882</v>
      </c>
      <c r="B2" s="2">
        <f>SUM(Orders[sales])</f>
        <v>262795</v>
      </c>
    </row>
    <row r="3" spans="1:2" x14ac:dyDescent="0.3">
      <c r="A3" t="s">
        <v>3883</v>
      </c>
      <c r="B3" s="2">
        <f>SUM(Orders[profit])</f>
        <v>29562.366920000026</v>
      </c>
    </row>
    <row r="4" spans="1:2" x14ac:dyDescent="0.3">
      <c r="A4" t="s">
        <v>3884</v>
      </c>
      <c r="B4" cm="1">
        <f t="array" ref="B4">SUMPRODUCT(1/COUNTIF(Orders[order_id],Orders[order_id]))</f>
        <v>987</v>
      </c>
    </row>
    <row r="5" spans="1:2" x14ac:dyDescent="0.3">
      <c r="A5" t="s">
        <v>3885</v>
      </c>
      <c r="B5" cm="1">
        <f t="array" ref="B5">SUMPRODUCT(1/COUNTIF(Orders[customer_name],Orders[customer_name]))</f>
        <v>555.99999999999864</v>
      </c>
    </row>
    <row r="6" spans="1:2" x14ac:dyDescent="0.3">
      <c r="A6" t="s">
        <v>3886</v>
      </c>
      <c r="B6" s="2">
        <f>B2/B4</f>
        <v>266.25633232016213</v>
      </c>
    </row>
    <row r="7" spans="1:2" x14ac:dyDescent="0.3">
      <c r="A7" t="s">
        <v>3887</v>
      </c>
      <c r="B7" s="3">
        <f>B3/B2</f>
        <v>0.11249212093076362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013C-CBC1-488D-B5C8-9622B2E9A37E}">
  <dimension ref="A3:B17"/>
  <sheetViews>
    <sheetView workbookViewId="0">
      <selection activeCell="C12" sqref="C12"/>
    </sheetView>
  </sheetViews>
  <sheetFormatPr defaultRowHeight="14.4" x14ac:dyDescent="0.3"/>
  <cols>
    <col min="1" max="1" width="12.77734375" bestFit="1" customWidth="1"/>
    <col min="2" max="2" width="11.33203125" bestFit="1" customWidth="1"/>
  </cols>
  <sheetData>
    <row r="3" spans="1:2" x14ac:dyDescent="0.3">
      <c r="A3" s="4" t="s">
        <v>3889</v>
      </c>
      <c r="B3" t="s">
        <v>3888</v>
      </c>
    </row>
    <row r="4" spans="1:2" x14ac:dyDescent="0.3">
      <c r="A4" s="5" t="s">
        <v>57</v>
      </c>
      <c r="B4" s="2">
        <v>60804</v>
      </c>
    </row>
    <row r="5" spans="1:2" x14ac:dyDescent="0.3">
      <c r="A5" s="5" t="s">
        <v>40</v>
      </c>
      <c r="B5" s="2">
        <v>36306</v>
      </c>
    </row>
    <row r="6" spans="1:2" x14ac:dyDescent="0.3">
      <c r="A6" s="5" t="s">
        <v>212</v>
      </c>
      <c r="B6" s="2">
        <v>27394</v>
      </c>
    </row>
    <row r="7" spans="1:2" x14ac:dyDescent="0.3">
      <c r="A7" s="5" t="s">
        <v>129</v>
      </c>
      <c r="B7" s="2">
        <v>23663</v>
      </c>
    </row>
    <row r="8" spans="1:2" x14ac:dyDescent="0.3">
      <c r="A8" s="5" t="s">
        <v>117</v>
      </c>
      <c r="B8" s="2">
        <v>22162</v>
      </c>
    </row>
    <row r="9" spans="1:2" x14ac:dyDescent="0.3">
      <c r="A9" s="5" t="s">
        <v>88</v>
      </c>
      <c r="B9" s="2">
        <v>19293</v>
      </c>
    </row>
    <row r="10" spans="1:2" x14ac:dyDescent="0.3">
      <c r="A10" s="5" t="s">
        <v>28</v>
      </c>
      <c r="B10" s="2">
        <v>16882</v>
      </c>
    </row>
    <row r="11" spans="1:2" x14ac:dyDescent="0.3">
      <c r="A11" s="5" t="s">
        <v>73</v>
      </c>
      <c r="B11" s="2">
        <v>14153</v>
      </c>
    </row>
    <row r="12" spans="1:2" x14ac:dyDescent="0.3">
      <c r="A12" s="5" t="s">
        <v>396</v>
      </c>
      <c r="B12" s="2">
        <v>12068</v>
      </c>
    </row>
    <row r="13" spans="1:2" x14ac:dyDescent="0.3">
      <c r="A13" s="5" t="s">
        <v>153</v>
      </c>
      <c r="B13" s="2">
        <v>11808</v>
      </c>
    </row>
    <row r="14" spans="1:2" x14ac:dyDescent="0.3">
      <c r="A14" s="5" t="s">
        <v>137</v>
      </c>
      <c r="B14" s="2">
        <v>9983</v>
      </c>
    </row>
    <row r="15" spans="1:2" x14ac:dyDescent="0.3">
      <c r="A15" s="5" t="s">
        <v>236</v>
      </c>
      <c r="B15" s="2">
        <v>7222</v>
      </c>
    </row>
    <row r="16" spans="1:2" x14ac:dyDescent="0.3">
      <c r="A16" s="5" t="s">
        <v>218</v>
      </c>
      <c r="B16" s="2">
        <v>1057</v>
      </c>
    </row>
    <row r="17" spans="1:2" x14ac:dyDescent="0.3">
      <c r="A17" s="5" t="s">
        <v>3890</v>
      </c>
      <c r="B17" s="2">
        <v>262795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75C3-91CF-482B-9D80-F01AB1E37432}">
  <dimension ref="A3:B17"/>
  <sheetViews>
    <sheetView topLeftCell="A2" zoomScale="79" workbookViewId="0">
      <selection activeCell="B3" sqref="B3"/>
    </sheetView>
  </sheetViews>
  <sheetFormatPr defaultRowHeight="14.4" x14ac:dyDescent="0.3"/>
  <cols>
    <col min="1" max="1" width="13.88671875" bestFit="1" customWidth="1"/>
    <col min="2" max="2" width="12.44140625" bestFit="1" customWidth="1"/>
  </cols>
  <sheetData>
    <row r="3" spans="1:2" x14ac:dyDescent="0.3">
      <c r="A3" s="4" t="s">
        <v>3889</v>
      </c>
      <c r="B3" t="s">
        <v>3891</v>
      </c>
    </row>
    <row r="4" spans="1:2" x14ac:dyDescent="0.3">
      <c r="A4" s="5" t="s">
        <v>117</v>
      </c>
      <c r="B4" s="2">
        <v>4925.0699999999979</v>
      </c>
    </row>
    <row r="5" spans="1:2" x14ac:dyDescent="0.3">
      <c r="A5" s="5" t="s">
        <v>57</v>
      </c>
      <c r="B5" s="2">
        <v>4260.5027799999989</v>
      </c>
    </row>
    <row r="6" spans="1:2" x14ac:dyDescent="0.3">
      <c r="A6" s="5" t="s">
        <v>40</v>
      </c>
      <c r="B6" s="2">
        <v>3271.535640000001</v>
      </c>
    </row>
    <row r="7" spans="1:2" x14ac:dyDescent="0.3">
      <c r="A7" s="5" t="s">
        <v>129</v>
      </c>
      <c r="B7" s="2">
        <v>3148.1989999999996</v>
      </c>
    </row>
    <row r="8" spans="1:2" x14ac:dyDescent="0.3">
      <c r="A8" s="5" t="s">
        <v>153</v>
      </c>
      <c r="B8" s="2">
        <v>3069.2100000000009</v>
      </c>
    </row>
    <row r="9" spans="1:2" x14ac:dyDescent="0.3">
      <c r="A9" s="5" t="s">
        <v>396</v>
      </c>
      <c r="B9" s="2">
        <v>2235.2208000000001</v>
      </c>
    </row>
    <row r="10" spans="1:2" x14ac:dyDescent="0.3">
      <c r="A10" s="5" t="s">
        <v>73</v>
      </c>
      <c r="B10" s="2">
        <v>2225.9250000000006</v>
      </c>
    </row>
    <row r="11" spans="1:2" x14ac:dyDescent="0.3">
      <c r="A11" s="5" t="s">
        <v>88</v>
      </c>
      <c r="B11" s="2">
        <v>2125.6619999999998</v>
      </c>
    </row>
    <row r="12" spans="1:2" x14ac:dyDescent="0.3">
      <c r="A12" s="5" t="s">
        <v>212</v>
      </c>
      <c r="B12" s="2">
        <v>2006.1180000000008</v>
      </c>
    </row>
    <row r="13" spans="1:2" x14ac:dyDescent="0.3">
      <c r="A13" s="5" t="s">
        <v>137</v>
      </c>
      <c r="B13" s="2">
        <v>1998.9930000000004</v>
      </c>
    </row>
    <row r="14" spans="1:2" x14ac:dyDescent="0.3">
      <c r="A14" s="5" t="s">
        <v>236</v>
      </c>
      <c r="B14" s="2">
        <v>409.56619999999998</v>
      </c>
    </row>
    <row r="15" spans="1:2" x14ac:dyDescent="0.3">
      <c r="A15" s="5" t="s">
        <v>218</v>
      </c>
      <c r="B15" s="2">
        <v>287.45999999999998</v>
      </c>
    </row>
    <row r="16" spans="1:2" x14ac:dyDescent="0.3">
      <c r="A16" s="5" t="s">
        <v>28</v>
      </c>
      <c r="B16" s="2">
        <v>-401.0954999999999</v>
      </c>
    </row>
    <row r="17" spans="1:2" x14ac:dyDescent="0.3">
      <c r="A17" s="5" t="s">
        <v>3890</v>
      </c>
      <c r="B17" s="2">
        <v>29562.36692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9892-8367-4CDF-A578-CBC5BA46F17B}">
  <dimension ref="A3:B7"/>
  <sheetViews>
    <sheetView workbookViewId="0">
      <selection activeCell="B14" sqref="B14"/>
    </sheetView>
  </sheetViews>
  <sheetFormatPr defaultRowHeight="14.4" x14ac:dyDescent="0.3"/>
  <cols>
    <col min="1" max="1" width="13.109375" bestFit="1" customWidth="1"/>
    <col min="2" max="2" width="11.33203125" bestFit="1" customWidth="1"/>
  </cols>
  <sheetData>
    <row r="3" spans="1:2" x14ac:dyDescent="0.3">
      <c r="A3" s="4" t="s">
        <v>3889</v>
      </c>
      <c r="B3" t="s">
        <v>3888</v>
      </c>
    </row>
    <row r="4" spans="1:2" x14ac:dyDescent="0.3">
      <c r="A4" s="5" t="s">
        <v>146</v>
      </c>
      <c r="B4" s="2">
        <v>98868</v>
      </c>
    </row>
    <row r="5" spans="1:2" x14ac:dyDescent="0.3">
      <c r="A5" s="5" t="s">
        <v>30</v>
      </c>
      <c r="B5" s="2">
        <v>82707</v>
      </c>
    </row>
    <row r="6" spans="1:2" x14ac:dyDescent="0.3">
      <c r="A6" s="5" t="s">
        <v>59</v>
      </c>
      <c r="B6" s="2">
        <v>81220</v>
      </c>
    </row>
    <row r="7" spans="1:2" x14ac:dyDescent="0.3">
      <c r="A7" s="5" t="s">
        <v>3890</v>
      </c>
      <c r="B7" s="2">
        <v>262795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F081-7717-4A4D-95C1-555077B92495}">
  <dimension ref="A3:B7"/>
  <sheetViews>
    <sheetView workbookViewId="0">
      <selection activeCell="M17" sqref="M17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4" t="s">
        <v>3889</v>
      </c>
      <c r="B3" t="s">
        <v>3891</v>
      </c>
    </row>
    <row r="4" spans="1:2" x14ac:dyDescent="0.3">
      <c r="A4" s="5" t="s">
        <v>30</v>
      </c>
      <c r="B4" s="2">
        <v>13764.278</v>
      </c>
    </row>
    <row r="5" spans="1:2" x14ac:dyDescent="0.3">
      <c r="A5" s="5" t="s">
        <v>146</v>
      </c>
      <c r="B5" s="2">
        <v>12518.137120000003</v>
      </c>
    </row>
    <row r="6" spans="1:2" x14ac:dyDescent="0.3">
      <c r="A6" s="5" t="s">
        <v>59</v>
      </c>
      <c r="B6" s="2">
        <v>3279.9518000000003</v>
      </c>
    </row>
    <row r="7" spans="1:2" x14ac:dyDescent="0.3">
      <c r="A7" s="5" t="s">
        <v>3890</v>
      </c>
      <c r="B7" s="2">
        <v>29562.366920000004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432B-AFA7-435B-AED0-FE506ADB93AE}">
  <dimension ref="A3:B56"/>
  <sheetViews>
    <sheetView zoomScale="65"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4" t="s">
        <v>3889</v>
      </c>
      <c r="B3" t="s">
        <v>3888</v>
      </c>
    </row>
    <row r="4" spans="1:2" x14ac:dyDescent="0.3">
      <c r="A4" s="5" t="s">
        <v>3892</v>
      </c>
      <c r="B4" s="2">
        <v>60514</v>
      </c>
    </row>
    <row r="5" spans="1:2" x14ac:dyDescent="0.3">
      <c r="A5" s="6" t="s">
        <v>3896</v>
      </c>
      <c r="B5" s="2">
        <v>6038</v>
      </c>
    </row>
    <row r="6" spans="1:2" x14ac:dyDescent="0.3">
      <c r="A6" s="6" t="s">
        <v>3897</v>
      </c>
      <c r="B6" s="2">
        <v>5134</v>
      </c>
    </row>
    <row r="7" spans="1:2" x14ac:dyDescent="0.3">
      <c r="A7" s="6" t="s">
        <v>3898</v>
      </c>
      <c r="B7" s="2">
        <v>4007</v>
      </c>
    </row>
    <row r="8" spans="1:2" x14ac:dyDescent="0.3">
      <c r="A8" s="6" t="s">
        <v>3899</v>
      </c>
      <c r="B8" s="2">
        <v>1792</v>
      </c>
    </row>
    <row r="9" spans="1:2" x14ac:dyDescent="0.3">
      <c r="A9" s="6" t="s">
        <v>3900</v>
      </c>
      <c r="B9" s="2">
        <v>8186</v>
      </c>
    </row>
    <row r="10" spans="1:2" x14ac:dyDescent="0.3">
      <c r="A10" s="6" t="s">
        <v>3901</v>
      </c>
      <c r="B10" s="2">
        <v>2667</v>
      </c>
    </row>
    <row r="11" spans="1:2" x14ac:dyDescent="0.3">
      <c r="A11" s="6" t="s">
        <v>3902</v>
      </c>
      <c r="B11" s="2">
        <v>3922</v>
      </c>
    </row>
    <row r="12" spans="1:2" x14ac:dyDescent="0.3">
      <c r="A12" s="6" t="s">
        <v>3903</v>
      </c>
      <c r="B12" s="2">
        <v>6665</v>
      </c>
    </row>
    <row r="13" spans="1:2" x14ac:dyDescent="0.3">
      <c r="A13" s="6" t="s">
        <v>3904</v>
      </c>
      <c r="B13" s="2">
        <v>4087</v>
      </c>
    </row>
    <row r="14" spans="1:2" x14ac:dyDescent="0.3">
      <c r="A14" s="6" t="s">
        <v>3905</v>
      </c>
      <c r="B14" s="2">
        <v>5071</v>
      </c>
    </row>
    <row r="15" spans="1:2" x14ac:dyDescent="0.3">
      <c r="A15" s="6" t="s">
        <v>3906</v>
      </c>
      <c r="B15" s="2">
        <v>4661</v>
      </c>
    </row>
    <row r="16" spans="1:2" x14ac:dyDescent="0.3">
      <c r="A16" s="6" t="s">
        <v>3907</v>
      </c>
      <c r="B16" s="2">
        <v>8284</v>
      </c>
    </row>
    <row r="17" spans="1:2" x14ac:dyDescent="0.3">
      <c r="A17" s="5" t="s">
        <v>3893</v>
      </c>
      <c r="B17" s="2">
        <v>59068</v>
      </c>
    </row>
    <row r="18" spans="1:2" x14ac:dyDescent="0.3">
      <c r="A18" s="6" t="s">
        <v>3896</v>
      </c>
      <c r="B18" s="2">
        <v>5480</v>
      </c>
    </row>
    <row r="19" spans="1:2" x14ac:dyDescent="0.3">
      <c r="A19" s="6" t="s">
        <v>3897</v>
      </c>
      <c r="B19" s="2">
        <v>3489</v>
      </c>
    </row>
    <row r="20" spans="1:2" x14ac:dyDescent="0.3">
      <c r="A20" s="6" t="s">
        <v>3898</v>
      </c>
      <c r="B20" s="2">
        <v>3583</v>
      </c>
    </row>
    <row r="21" spans="1:2" x14ac:dyDescent="0.3">
      <c r="A21" s="6" t="s">
        <v>3899</v>
      </c>
      <c r="B21" s="2">
        <v>3694</v>
      </c>
    </row>
    <row r="22" spans="1:2" x14ac:dyDescent="0.3">
      <c r="A22" s="6" t="s">
        <v>3900</v>
      </c>
      <c r="B22" s="2">
        <v>3707</v>
      </c>
    </row>
    <row r="23" spans="1:2" x14ac:dyDescent="0.3">
      <c r="A23" s="6" t="s">
        <v>3901</v>
      </c>
      <c r="B23" s="2">
        <v>7451</v>
      </c>
    </row>
    <row r="24" spans="1:2" x14ac:dyDescent="0.3">
      <c r="A24" s="6" t="s">
        <v>3902</v>
      </c>
      <c r="B24" s="2">
        <v>4021</v>
      </c>
    </row>
    <row r="25" spans="1:2" x14ac:dyDescent="0.3">
      <c r="A25" s="6" t="s">
        <v>3903</v>
      </c>
      <c r="B25" s="2">
        <v>4803</v>
      </c>
    </row>
    <row r="26" spans="1:2" x14ac:dyDescent="0.3">
      <c r="A26" s="6" t="s">
        <v>3904</v>
      </c>
      <c r="B26" s="2">
        <v>10501</v>
      </c>
    </row>
    <row r="27" spans="1:2" x14ac:dyDescent="0.3">
      <c r="A27" s="6" t="s">
        <v>3905</v>
      </c>
      <c r="B27" s="2">
        <v>2387</v>
      </c>
    </row>
    <row r="28" spans="1:2" x14ac:dyDescent="0.3">
      <c r="A28" s="6" t="s">
        <v>3906</v>
      </c>
      <c r="B28" s="2">
        <v>6850</v>
      </c>
    </row>
    <row r="29" spans="1:2" x14ac:dyDescent="0.3">
      <c r="A29" s="6" t="s">
        <v>3907</v>
      </c>
      <c r="B29" s="2">
        <v>3102</v>
      </c>
    </row>
    <row r="30" spans="1:2" x14ac:dyDescent="0.3">
      <c r="A30" s="5" t="s">
        <v>3894</v>
      </c>
      <c r="B30" s="2">
        <v>63593</v>
      </c>
    </row>
    <row r="31" spans="1:2" x14ac:dyDescent="0.3">
      <c r="A31" s="6" t="s">
        <v>3896</v>
      </c>
      <c r="B31" s="2">
        <v>6827</v>
      </c>
    </row>
    <row r="32" spans="1:2" x14ac:dyDescent="0.3">
      <c r="A32" s="6" t="s">
        <v>3897</v>
      </c>
      <c r="B32" s="2">
        <v>5362</v>
      </c>
    </row>
    <row r="33" spans="1:2" x14ac:dyDescent="0.3">
      <c r="A33" s="6" t="s">
        <v>3898</v>
      </c>
      <c r="B33" s="2">
        <v>2627</v>
      </c>
    </row>
    <row r="34" spans="1:2" x14ac:dyDescent="0.3">
      <c r="A34" s="6" t="s">
        <v>3899</v>
      </c>
      <c r="B34" s="2">
        <v>6993</v>
      </c>
    </row>
    <row r="35" spans="1:2" x14ac:dyDescent="0.3">
      <c r="A35" s="6" t="s">
        <v>3900</v>
      </c>
      <c r="B35" s="2">
        <v>10282</v>
      </c>
    </row>
    <row r="36" spans="1:2" x14ac:dyDescent="0.3">
      <c r="A36" s="6" t="s">
        <v>3901</v>
      </c>
      <c r="B36" s="2">
        <v>6054</v>
      </c>
    </row>
    <row r="37" spans="1:2" x14ac:dyDescent="0.3">
      <c r="A37" s="6" t="s">
        <v>3902</v>
      </c>
      <c r="B37" s="2">
        <v>2981</v>
      </c>
    </row>
    <row r="38" spans="1:2" x14ac:dyDescent="0.3">
      <c r="A38" s="6" t="s">
        <v>3903</v>
      </c>
      <c r="B38" s="2">
        <v>8456</v>
      </c>
    </row>
    <row r="39" spans="1:2" x14ac:dyDescent="0.3">
      <c r="A39" s="6" t="s">
        <v>3904</v>
      </c>
      <c r="B39" s="2">
        <v>3158</v>
      </c>
    </row>
    <row r="40" spans="1:2" x14ac:dyDescent="0.3">
      <c r="A40" s="6" t="s">
        <v>3905</v>
      </c>
      <c r="B40" s="2">
        <v>3711</v>
      </c>
    </row>
    <row r="41" spans="1:2" x14ac:dyDescent="0.3">
      <c r="A41" s="6" t="s">
        <v>3906</v>
      </c>
      <c r="B41" s="2">
        <v>5660</v>
      </c>
    </row>
    <row r="42" spans="1:2" x14ac:dyDescent="0.3">
      <c r="A42" s="6" t="s">
        <v>3907</v>
      </c>
      <c r="B42" s="2">
        <v>1482</v>
      </c>
    </row>
    <row r="43" spans="1:2" x14ac:dyDescent="0.3">
      <c r="A43" s="5" t="s">
        <v>3895</v>
      </c>
      <c r="B43" s="2">
        <v>79620</v>
      </c>
    </row>
    <row r="44" spans="1:2" x14ac:dyDescent="0.3">
      <c r="A44" s="6" t="s">
        <v>3896</v>
      </c>
      <c r="B44" s="2">
        <v>5839</v>
      </c>
    </row>
    <row r="45" spans="1:2" x14ac:dyDescent="0.3">
      <c r="A45" s="6" t="s">
        <v>3897</v>
      </c>
      <c r="B45" s="2">
        <v>7482</v>
      </c>
    </row>
    <row r="46" spans="1:2" x14ac:dyDescent="0.3">
      <c r="A46" s="6" t="s">
        <v>3898</v>
      </c>
      <c r="B46" s="2">
        <v>5431</v>
      </c>
    </row>
    <row r="47" spans="1:2" x14ac:dyDescent="0.3">
      <c r="A47" s="6" t="s">
        <v>3899</v>
      </c>
      <c r="B47" s="2">
        <v>3435</v>
      </c>
    </row>
    <row r="48" spans="1:2" x14ac:dyDescent="0.3">
      <c r="A48" s="6" t="s">
        <v>3900</v>
      </c>
      <c r="B48" s="2">
        <v>5072</v>
      </c>
    </row>
    <row r="49" spans="1:2" x14ac:dyDescent="0.3">
      <c r="A49" s="6" t="s">
        <v>3901</v>
      </c>
      <c r="B49" s="2">
        <v>7542</v>
      </c>
    </row>
    <row r="50" spans="1:2" x14ac:dyDescent="0.3">
      <c r="A50" s="6" t="s">
        <v>3902</v>
      </c>
      <c r="B50" s="2">
        <v>3122</v>
      </c>
    </row>
    <row r="51" spans="1:2" x14ac:dyDescent="0.3">
      <c r="A51" s="6" t="s">
        <v>3903</v>
      </c>
      <c r="B51" s="2">
        <v>13290</v>
      </c>
    </row>
    <row r="52" spans="1:2" x14ac:dyDescent="0.3">
      <c r="A52" s="6" t="s">
        <v>3904</v>
      </c>
      <c r="B52" s="2">
        <v>4976</v>
      </c>
    </row>
    <row r="53" spans="1:2" x14ac:dyDescent="0.3">
      <c r="A53" s="6" t="s">
        <v>3905</v>
      </c>
      <c r="B53" s="2">
        <v>5235</v>
      </c>
    </row>
    <row r="54" spans="1:2" x14ac:dyDescent="0.3">
      <c r="A54" s="6" t="s">
        <v>3906</v>
      </c>
      <c r="B54" s="2">
        <v>12951</v>
      </c>
    </row>
    <row r="55" spans="1:2" x14ac:dyDescent="0.3">
      <c r="A55" s="6" t="s">
        <v>3907</v>
      </c>
      <c r="B55" s="2">
        <v>5245</v>
      </c>
    </row>
    <row r="56" spans="1:2" x14ac:dyDescent="0.3">
      <c r="A56" s="5" t="s">
        <v>3890</v>
      </c>
      <c r="B56" s="2">
        <v>262795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3B80-A73F-47B2-B160-127F5FB4F2E8}">
  <dimension ref="A3:B14"/>
  <sheetViews>
    <sheetView workbookViewId="0">
      <selection activeCell="O15" sqref="O15"/>
    </sheetView>
  </sheetViews>
  <sheetFormatPr defaultRowHeight="14.4" x14ac:dyDescent="0.3"/>
  <cols>
    <col min="1" max="1" width="65.109375" bestFit="1" customWidth="1"/>
    <col min="2" max="2" width="11.33203125" bestFit="1" customWidth="1"/>
  </cols>
  <sheetData>
    <row r="3" spans="1:2" x14ac:dyDescent="0.3">
      <c r="A3" s="4" t="s">
        <v>3889</v>
      </c>
      <c r="B3" t="s">
        <v>3888</v>
      </c>
    </row>
    <row r="4" spans="1:2" x14ac:dyDescent="0.3">
      <c r="A4" s="5" t="s">
        <v>2522</v>
      </c>
      <c r="B4" s="2">
        <v>8210</v>
      </c>
    </row>
    <row r="5" spans="1:2" x14ac:dyDescent="0.3">
      <c r="A5" s="5" t="s">
        <v>1312</v>
      </c>
      <c r="B5" s="2">
        <v>4507</v>
      </c>
    </row>
    <row r="6" spans="1:2" x14ac:dyDescent="0.3">
      <c r="A6" s="5" t="s">
        <v>2567</v>
      </c>
      <c r="B6" s="2">
        <v>4368</v>
      </c>
    </row>
    <row r="7" spans="1:2" x14ac:dyDescent="0.3">
      <c r="A7" s="5" t="s">
        <v>340</v>
      </c>
      <c r="B7" s="2">
        <v>4351</v>
      </c>
    </row>
    <row r="8" spans="1:2" x14ac:dyDescent="0.3">
      <c r="A8" s="5" t="s">
        <v>1355</v>
      </c>
      <c r="B8" s="2">
        <v>3364</v>
      </c>
    </row>
    <row r="9" spans="1:2" x14ac:dyDescent="0.3">
      <c r="A9" s="5" t="s">
        <v>1041</v>
      </c>
      <c r="B9" s="2">
        <v>3228</v>
      </c>
    </row>
    <row r="10" spans="1:2" x14ac:dyDescent="0.3">
      <c r="A10" s="5" t="s">
        <v>1240</v>
      </c>
      <c r="B10" s="2">
        <v>3149</v>
      </c>
    </row>
    <row r="11" spans="1:2" x14ac:dyDescent="0.3">
      <c r="A11" s="5" t="s">
        <v>1868</v>
      </c>
      <c r="B11" s="2">
        <v>3127</v>
      </c>
    </row>
    <row r="12" spans="1:2" x14ac:dyDescent="0.3">
      <c r="A12" s="5" t="s">
        <v>1770</v>
      </c>
      <c r="B12" s="2">
        <v>3079</v>
      </c>
    </row>
    <row r="13" spans="1:2" x14ac:dyDescent="0.3">
      <c r="A13" s="5" t="s">
        <v>2112</v>
      </c>
      <c r="B13" s="2">
        <v>3050</v>
      </c>
    </row>
    <row r="14" spans="1:2" x14ac:dyDescent="0.3">
      <c r="A14" s="5" t="s">
        <v>3890</v>
      </c>
      <c r="B14" s="2">
        <v>40433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C8E5-3C0B-4EB5-84F2-39EC92D1A0E0}">
  <dimension ref="A3:B14"/>
  <sheetViews>
    <sheetView workbookViewId="0">
      <selection activeCell="P18" sqref="P18"/>
    </sheetView>
  </sheetViews>
  <sheetFormatPr defaultRowHeight="14.4" x14ac:dyDescent="0.3"/>
  <cols>
    <col min="1" max="1" width="14.109375" bestFit="1" customWidth="1"/>
    <col min="2" max="2" width="11.33203125" bestFit="1" customWidth="1"/>
  </cols>
  <sheetData>
    <row r="3" spans="1:2" x14ac:dyDescent="0.3">
      <c r="A3" s="4" t="s">
        <v>3889</v>
      </c>
      <c r="B3" t="s">
        <v>3888</v>
      </c>
    </row>
    <row r="4" spans="1:2" x14ac:dyDescent="0.3">
      <c r="A4" s="5" t="s">
        <v>3552</v>
      </c>
      <c r="B4" s="2">
        <v>5739</v>
      </c>
    </row>
    <row r="5" spans="1:2" x14ac:dyDescent="0.3">
      <c r="A5" s="5" t="s">
        <v>2565</v>
      </c>
      <c r="B5" s="2">
        <v>4659</v>
      </c>
    </row>
    <row r="6" spans="1:2" x14ac:dyDescent="0.3">
      <c r="A6" s="5" t="s">
        <v>2423</v>
      </c>
      <c r="B6" s="2">
        <v>4497</v>
      </c>
    </row>
    <row r="7" spans="1:2" x14ac:dyDescent="0.3">
      <c r="A7" s="5" t="s">
        <v>183</v>
      </c>
      <c r="B7" s="2">
        <v>4254</v>
      </c>
    </row>
    <row r="8" spans="1:2" x14ac:dyDescent="0.3">
      <c r="A8" s="5" t="s">
        <v>1540</v>
      </c>
      <c r="B8" s="2">
        <v>4144</v>
      </c>
    </row>
    <row r="9" spans="1:2" x14ac:dyDescent="0.3">
      <c r="A9" s="5" t="s">
        <v>364</v>
      </c>
      <c r="B9" s="2">
        <v>3481</v>
      </c>
    </row>
    <row r="10" spans="1:2" x14ac:dyDescent="0.3">
      <c r="A10" s="5" t="s">
        <v>2057</v>
      </c>
      <c r="B10" s="2">
        <v>3283</v>
      </c>
    </row>
    <row r="11" spans="1:2" x14ac:dyDescent="0.3">
      <c r="A11" s="5" t="s">
        <v>1038</v>
      </c>
      <c r="B11" s="2">
        <v>3228</v>
      </c>
    </row>
    <row r="12" spans="1:2" x14ac:dyDescent="0.3">
      <c r="A12" s="5" t="s">
        <v>611</v>
      </c>
      <c r="B12" s="2">
        <v>3219</v>
      </c>
    </row>
    <row r="13" spans="1:2" x14ac:dyDescent="0.3">
      <c r="A13" s="5" t="s">
        <v>326</v>
      </c>
      <c r="B13" s="2">
        <v>3215</v>
      </c>
    </row>
    <row r="14" spans="1:2" x14ac:dyDescent="0.3">
      <c r="A14" s="5" t="s">
        <v>3890</v>
      </c>
      <c r="B14" s="2">
        <v>39719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EE5B-123D-4A11-A0D6-635F83954E57}">
  <dimension ref="A3:B7"/>
  <sheetViews>
    <sheetView workbookViewId="0">
      <selection activeCell="N16" sqref="N16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4" t="s">
        <v>3889</v>
      </c>
      <c r="B3" t="s">
        <v>3888</v>
      </c>
    </row>
    <row r="4" spans="1:2" x14ac:dyDescent="0.3">
      <c r="A4" s="5" t="s">
        <v>54</v>
      </c>
      <c r="B4" s="2">
        <v>134145</v>
      </c>
    </row>
    <row r="5" spans="1:2" x14ac:dyDescent="0.3">
      <c r="A5" s="5" t="s">
        <v>24</v>
      </c>
      <c r="B5" s="2">
        <v>76959</v>
      </c>
    </row>
    <row r="6" spans="1:2" x14ac:dyDescent="0.3">
      <c r="A6" s="5" t="s">
        <v>36</v>
      </c>
      <c r="B6" s="2">
        <v>51691</v>
      </c>
    </row>
    <row r="7" spans="1:2" x14ac:dyDescent="0.3">
      <c r="A7" s="5" t="s">
        <v>3890</v>
      </c>
      <c r="B7" s="2">
        <v>262795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EE25-CE70-4A09-96FA-23988E0B92D6}">
  <dimension ref="A3:B7"/>
  <sheetViews>
    <sheetView workbookViewId="0">
      <selection activeCell="N17" sqref="N17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4" t="s">
        <v>3889</v>
      </c>
      <c r="B3" t="s">
        <v>3891</v>
      </c>
    </row>
    <row r="4" spans="1:2" x14ac:dyDescent="0.3">
      <c r="A4" s="5" t="s">
        <v>54</v>
      </c>
      <c r="B4" s="2">
        <v>12125.907180000009</v>
      </c>
    </row>
    <row r="5" spans="1:2" x14ac:dyDescent="0.3">
      <c r="A5" s="5" t="s">
        <v>24</v>
      </c>
      <c r="B5" s="2">
        <v>9424.6239799999912</v>
      </c>
    </row>
    <row r="6" spans="1:2" x14ac:dyDescent="0.3">
      <c r="A6" s="5" t="s">
        <v>36</v>
      </c>
      <c r="B6" s="2">
        <v>8011.835759999999</v>
      </c>
    </row>
    <row r="7" spans="1:2" x14ac:dyDescent="0.3">
      <c r="A7" s="5" t="s">
        <v>3890</v>
      </c>
      <c r="B7" s="2">
        <v>29562.366919999997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FB71-FC37-4A2E-9BCF-CF6C0EFDC21C}">
  <dimension ref="A3:B21"/>
  <sheetViews>
    <sheetView zoomScale="92" workbookViewId="0">
      <selection activeCell="P29" sqref="P29"/>
    </sheetView>
  </sheetViews>
  <sheetFormatPr defaultRowHeight="14.4" x14ac:dyDescent="0.3"/>
  <cols>
    <col min="1" max="1" width="13.21875" bestFit="1" customWidth="1"/>
    <col min="2" max="2" width="12.109375" bestFit="1" customWidth="1"/>
  </cols>
  <sheetData>
    <row r="3" spans="1:2" x14ac:dyDescent="0.3">
      <c r="A3" s="4" t="s">
        <v>3889</v>
      </c>
      <c r="B3" t="s">
        <v>3888</v>
      </c>
    </row>
    <row r="4" spans="1:2" x14ac:dyDescent="0.3">
      <c r="A4" s="5" t="s">
        <v>147</v>
      </c>
      <c r="B4" s="2">
        <v>37700</v>
      </c>
    </row>
    <row r="5" spans="1:2" x14ac:dyDescent="0.3">
      <c r="A5" s="5" t="s">
        <v>139</v>
      </c>
      <c r="B5" s="2">
        <v>30052</v>
      </c>
    </row>
    <row r="6" spans="1:2" x14ac:dyDescent="0.3">
      <c r="A6" s="5" t="s">
        <v>42</v>
      </c>
      <c r="B6" s="2">
        <v>28751</v>
      </c>
    </row>
    <row r="7" spans="1:2" x14ac:dyDescent="0.3">
      <c r="A7" s="5" t="s">
        <v>339</v>
      </c>
      <c r="B7" s="2">
        <v>27324</v>
      </c>
    </row>
    <row r="8" spans="1:2" x14ac:dyDescent="0.3">
      <c r="A8" s="5" t="s">
        <v>347</v>
      </c>
      <c r="B8" s="2">
        <v>25044</v>
      </c>
    </row>
    <row r="9" spans="1:2" x14ac:dyDescent="0.3">
      <c r="A9" s="5" t="s">
        <v>66</v>
      </c>
      <c r="B9" s="2">
        <v>22408</v>
      </c>
    </row>
    <row r="10" spans="1:2" x14ac:dyDescent="0.3">
      <c r="A10" s="5" t="s">
        <v>271</v>
      </c>
      <c r="B10" s="2">
        <v>19014</v>
      </c>
    </row>
    <row r="11" spans="1:2" x14ac:dyDescent="0.3">
      <c r="A11" s="5" t="s">
        <v>195</v>
      </c>
      <c r="B11" s="2">
        <v>17110</v>
      </c>
    </row>
    <row r="12" spans="1:2" x14ac:dyDescent="0.3">
      <c r="A12" s="5" t="s">
        <v>329</v>
      </c>
      <c r="B12" s="2">
        <v>16901</v>
      </c>
    </row>
    <row r="13" spans="1:2" x14ac:dyDescent="0.3">
      <c r="A13" s="5" t="s">
        <v>31</v>
      </c>
      <c r="B13" s="2">
        <v>10777</v>
      </c>
    </row>
    <row r="14" spans="1:2" x14ac:dyDescent="0.3">
      <c r="A14" s="5" t="s">
        <v>90</v>
      </c>
      <c r="B14" s="2">
        <v>7845</v>
      </c>
    </row>
    <row r="15" spans="1:2" x14ac:dyDescent="0.3">
      <c r="A15" s="5" t="s">
        <v>60</v>
      </c>
      <c r="B15" s="2">
        <v>6943</v>
      </c>
    </row>
    <row r="16" spans="1:2" x14ac:dyDescent="0.3">
      <c r="A16" s="5" t="s">
        <v>105</v>
      </c>
      <c r="B16" s="2">
        <v>4061</v>
      </c>
    </row>
    <row r="17" spans="1:2" x14ac:dyDescent="0.3">
      <c r="A17" s="5" t="s">
        <v>370</v>
      </c>
      <c r="B17" s="2">
        <v>3031</v>
      </c>
    </row>
    <row r="18" spans="1:2" x14ac:dyDescent="0.3">
      <c r="A18" s="5" t="s">
        <v>410</v>
      </c>
      <c r="B18" s="2">
        <v>2969</v>
      </c>
    </row>
    <row r="19" spans="1:2" x14ac:dyDescent="0.3">
      <c r="A19" s="5" t="s">
        <v>75</v>
      </c>
      <c r="B19" s="2">
        <v>1581</v>
      </c>
    </row>
    <row r="20" spans="1:2" x14ac:dyDescent="0.3">
      <c r="A20" s="5" t="s">
        <v>97</v>
      </c>
      <c r="B20" s="2">
        <v>1284</v>
      </c>
    </row>
    <row r="21" spans="1:2" x14ac:dyDescent="0.3">
      <c r="A21" s="5" t="s">
        <v>3890</v>
      </c>
      <c r="B21" s="2">
        <v>262795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0EB5-13AB-4820-A408-A4D6E68B7F34}">
  <dimension ref="A3:B21"/>
  <sheetViews>
    <sheetView topLeftCell="A2" zoomScale="70" workbookViewId="0">
      <selection activeCell="Q32" sqref="Q32"/>
    </sheetView>
  </sheetViews>
  <sheetFormatPr defaultRowHeight="14.4" x14ac:dyDescent="0.3"/>
  <cols>
    <col min="1" max="1" width="13.88671875" bestFit="1" customWidth="1"/>
    <col min="2" max="2" width="11.88671875" bestFit="1" customWidth="1"/>
  </cols>
  <sheetData>
    <row r="3" spans="1:2" x14ac:dyDescent="0.3">
      <c r="A3" s="4" t="s">
        <v>3889</v>
      </c>
      <c r="B3" t="s">
        <v>3891</v>
      </c>
    </row>
    <row r="4" spans="1:2" x14ac:dyDescent="0.3">
      <c r="A4" s="5" t="s">
        <v>147</v>
      </c>
      <c r="B4" s="2">
        <v>5492.7904000000017</v>
      </c>
    </row>
    <row r="5" spans="1:2" x14ac:dyDescent="0.3">
      <c r="A5" s="5" t="s">
        <v>42</v>
      </c>
      <c r="B5" s="2">
        <v>4216.423499999999</v>
      </c>
    </row>
    <row r="6" spans="1:2" x14ac:dyDescent="0.3">
      <c r="A6" s="5" t="s">
        <v>271</v>
      </c>
      <c r="B6" s="2">
        <v>3553.3772000000022</v>
      </c>
    </row>
    <row r="7" spans="1:2" x14ac:dyDescent="0.3">
      <c r="A7" s="5" t="s">
        <v>339</v>
      </c>
      <c r="B7" s="2">
        <v>3498.0910000000003</v>
      </c>
    </row>
    <row r="8" spans="1:2" x14ac:dyDescent="0.3">
      <c r="A8" s="5" t="s">
        <v>66</v>
      </c>
      <c r="B8" s="2">
        <v>3021.2350999999999</v>
      </c>
    </row>
    <row r="9" spans="1:2" x14ac:dyDescent="0.3">
      <c r="A9" s="5" t="s">
        <v>31</v>
      </c>
      <c r="B9" s="2">
        <v>2380.8785000000007</v>
      </c>
    </row>
    <row r="10" spans="1:2" x14ac:dyDescent="0.3">
      <c r="A10" s="5" t="s">
        <v>347</v>
      </c>
      <c r="B10" s="2">
        <v>2369.4671199999993</v>
      </c>
    </row>
    <row r="11" spans="1:2" x14ac:dyDescent="0.3">
      <c r="A11" s="5" t="s">
        <v>105</v>
      </c>
      <c r="B11" s="2">
        <v>1184.8353</v>
      </c>
    </row>
    <row r="12" spans="1:2" x14ac:dyDescent="0.3">
      <c r="A12" s="5" t="s">
        <v>60</v>
      </c>
      <c r="B12" s="2">
        <v>1183.3828000000001</v>
      </c>
    </row>
    <row r="13" spans="1:2" x14ac:dyDescent="0.3">
      <c r="A13" s="5" t="s">
        <v>195</v>
      </c>
      <c r="B13" s="2">
        <v>1102.5023999999996</v>
      </c>
    </row>
    <row r="14" spans="1:2" x14ac:dyDescent="0.3">
      <c r="A14" s="5" t="s">
        <v>90</v>
      </c>
      <c r="B14" s="2">
        <v>1050.4903000000002</v>
      </c>
    </row>
    <row r="15" spans="1:2" x14ac:dyDescent="0.3">
      <c r="A15" s="5" t="s">
        <v>370</v>
      </c>
      <c r="B15" s="2">
        <v>736.66079999999999</v>
      </c>
    </row>
    <row r="16" spans="1:2" x14ac:dyDescent="0.3">
      <c r="A16" s="5" t="s">
        <v>410</v>
      </c>
      <c r="B16" s="2">
        <v>641.71479999999974</v>
      </c>
    </row>
    <row r="17" spans="1:2" x14ac:dyDescent="0.3">
      <c r="A17" s="5" t="s">
        <v>139</v>
      </c>
      <c r="B17" s="2">
        <v>613.41420000000005</v>
      </c>
    </row>
    <row r="18" spans="1:2" x14ac:dyDescent="0.3">
      <c r="A18" s="5" t="s">
        <v>75</v>
      </c>
      <c r="B18" s="2">
        <v>293.41280000000006</v>
      </c>
    </row>
    <row r="19" spans="1:2" x14ac:dyDescent="0.3">
      <c r="A19" s="5" t="s">
        <v>97</v>
      </c>
      <c r="B19" s="2">
        <v>238.62690000000003</v>
      </c>
    </row>
    <row r="20" spans="1:2" x14ac:dyDescent="0.3">
      <c r="A20" s="5" t="s">
        <v>329</v>
      </c>
      <c r="B20" s="2">
        <v>-2014.9361999999999</v>
      </c>
    </row>
    <row r="21" spans="1:2" x14ac:dyDescent="0.3">
      <c r="A21" s="5" t="s">
        <v>3890</v>
      </c>
      <c r="B21" s="2">
        <v>29562.36692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8EB4-C802-4E42-B4F1-1CD022E2CA21}">
  <dimension ref="A1:B12"/>
  <sheetViews>
    <sheetView workbookViewId="0">
      <selection activeCell="D8" sqref="D8"/>
    </sheetView>
  </sheetViews>
  <sheetFormatPr defaultRowHeight="14.4" x14ac:dyDescent="0.3"/>
  <cols>
    <col min="1" max="1" width="12.44140625" bestFit="1" customWidth="1"/>
    <col min="2" max="2" width="14.44140625" bestFit="1" customWidth="1"/>
  </cols>
  <sheetData>
    <row r="1" spans="1:2" x14ac:dyDescent="0.3">
      <c r="A1" t="s">
        <v>3918</v>
      </c>
    </row>
    <row r="3" spans="1:2" x14ac:dyDescent="0.3">
      <c r="A3" s="4" t="s">
        <v>3889</v>
      </c>
      <c r="B3" t="s">
        <v>3908</v>
      </c>
    </row>
    <row r="4" spans="1:2" x14ac:dyDescent="0.3">
      <c r="A4" s="7" t="s">
        <v>3909</v>
      </c>
      <c r="B4" s="2">
        <v>64.713404121621622</v>
      </c>
    </row>
    <row r="5" spans="1:2" x14ac:dyDescent="0.3">
      <c r="A5" s="7" t="s">
        <v>3910</v>
      </c>
      <c r="B5" s="2">
        <v>56.067215384615366</v>
      </c>
    </row>
    <row r="6" spans="1:2" x14ac:dyDescent="0.3">
      <c r="A6" s="7" t="s">
        <v>3911</v>
      </c>
      <c r="B6" s="2">
        <v>24.702596226415093</v>
      </c>
    </row>
    <row r="7" spans="1:2" x14ac:dyDescent="0.3">
      <c r="A7" s="7" t="s">
        <v>3912</v>
      </c>
      <c r="B7" s="2">
        <v>-227.38316999999998</v>
      </c>
    </row>
    <row r="8" spans="1:2" x14ac:dyDescent="0.3">
      <c r="A8" s="7" t="s">
        <v>3913</v>
      </c>
      <c r="B8" s="2">
        <v>-60.427794482758614</v>
      </c>
    </row>
    <row r="9" spans="1:2" x14ac:dyDescent="0.3">
      <c r="A9" s="7" t="s">
        <v>3914</v>
      </c>
      <c r="B9" s="2">
        <v>-64.951912500000006</v>
      </c>
    </row>
    <row r="10" spans="1:2" x14ac:dyDescent="0.3">
      <c r="A10" s="7" t="s">
        <v>3915</v>
      </c>
      <c r="B10" s="2">
        <v>-96.241728571428581</v>
      </c>
    </row>
    <row r="11" spans="1:2" x14ac:dyDescent="0.3">
      <c r="A11" s="7" t="s">
        <v>3916</v>
      </c>
      <c r="B11" s="2">
        <v>-70.422412499999993</v>
      </c>
    </row>
    <row r="12" spans="1:2" x14ac:dyDescent="0.3">
      <c r="A12" s="7" t="s">
        <v>3890</v>
      </c>
      <c r="B12" s="2">
        <v>29.562366919999921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270D-2238-45B9-AD4B-89C4BB67EFC2}">
  <dimension ref="A1:A20"/>
  <sheetViews>
    <sheetView tabSelected="1" workbookViewId="0">
      <selection activeCell="D26" sqref="D26"/>
    </sheetView>
  </sheetViews>
  <sheetFormatPr defaultRowHeight="14.4" x14ac:dyDescent="0.3"/>
  <cols>
    <col min="1" max="16384" width="8.88671875" style="8"/>
  </cols>
  <sheetData>
    <row r="1" spans="1:1" ht="21" x14ac:dyDescent="0.4">
      <c r="A1" s="9" t="s">
        <v>3919</v>
      </c>
    </row>
    <row r="3" spans="1:1" ht="18" x14ac:dyDescent="0.35">
      <c r="A3" s="10" t="s">
        <v>3920</v>
      </c>
    </row>
    <row r="4" spans="1:1" x14ac:dyDescent="0.3">
      <c r="A4" s="8" t="s">
        <v>3922</v>
      </c>
    </row>
    <row r="6" spans="1:1" ht="18" x14ac:dyDescent="0.35">
      <c r="A6" s="11" t="s">
        <v>3921</v>
      </c>
    </row>
    <row r="7" spans="1:1" x14ac:dyDescent="0.3">
      <c r="A7" s="8" t="s">
        <v>3923</v>
      </c>
    </row>
    <row r="9" spans="1:1" ht="18" x14ac:dyDescent="0.35">
      <c r="A9" s="10" t="s">
        <v>3924</v>
      </c>
    </row>
    <row r="10" spans="1:1" x14ac:dyDescent="0.3">
      <c r="A10" s="8" t="s">
        <v>3925</v>
      </c>
    </row>
    <row r="11" spans="1:1" x14ac:dyDescent="0.3">
      <c r="A11" s="8" t="s">
        <v>3927</v>
      </c>
    </row>
    <row r="12" spans="1:1" x14ac:dyDescent="0.3">
      <c r="A12" s="8" t="s">
        <v>3926</v>
      </c>
    </row>
    <row r="13" spans="1:1" x14ac:dyDescent="0.3">
      <c r="A13" s="8" t="s">
        <v>3928</v>
      </c>
    </row>
    <row r="14" spans="1:1" x14ac:dyDescent="0.3">
      <c r="A14" s="8" t="s">
        <v>3929</v>
      </c>
    </row>
    <row r="16" spans="1:1" ht="18" x14ac:dyDescent="0.35">
      <c r="A16" s="10" t="s">
        <v>3930</v>
      </c>
    </row>
    <row r="17" spans="1:1" x14ac:dyDescent="0.3">
      <c r="A17" s="8" t="s">
        <v>3931</v>
      </c>
    </row>
    <row r="18" spans="1:1" x14ac:dyDescent="0.3">
      <c r="A18" s="8" t="s">
        <v>3932</v>
      </c>
    </row>
    <row r="19" spans="1:1" x14ac:dyDescent="0.3">
      <c r="A19" s="8" t="s">
        <v>3933</v>
      </c>
    </row>
    <row r="20" spans="1:1" x14ac:dyDescent="0.3">
      <c r="A20" s="8" t="s">
        <v>3934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BBD6-0F7A-4C6D-8A9B-FE047DED3F2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5068-4A0E-4795-96AC-BFCD2CA42B75}">
  <dimension ref="A1:U1001"/>
  <sheetViews>
    <sheetView topLeftCell="B1" zoomScale="89" workbookViewId="0">
      <selection activeCell="G20" sqref="G20"/>
    </sheetView>
  </sheetViews>
  <sheetFormatPr defaultRowHeight="14.4" x14ac:dyDescent="0.3"/>
  <cols>
    <col min="1" max="1" width="9.77734375" customWidth="1"/>
    <col min="2" max="2" width="11.88671875" customWidth="1"/>
    <col min="3" max="3" width="11" customWidth="1"/>
    <col min="4" max="4" width="12" customWidth="1"/>
    <col min="5" max="5" width="16.21875" customWidth="1"/>
    <col min="6" max="6" width="10" customWidth="1"/>
    <col min="8" max="8" width="9.109375" customWidth="1"/>
    <col min="11" max="11" width="11.88671875" customWidth="1"/>
    <col min="12" max="12" width="10" customWidth="1"/>
    <col min="13" max="13" width="13.77734375" customWidth="1"/>
    <col min="14" max="14" width="14.88671875" customWidth="1"/>
    <col min="15" max="15" width="9.109375" style="2" bestFit="1" customWidth="1"/>
    <col min="16" max="16" width="9.77734375" customWidth="1"/>
    <col min="17" max="17" width="10.109375" style="3" customWidth="1"/>
    <col min="18" max="18" width="9.109375" style="2" bestFit="1" customWidth="1"/>
    <col min="19" max="19" width="14.33203125" style="2" customWidth="1"/>
    <col min="20" max="20" width="14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s="3" t="s">
        <v>16</v>
      </c>
      <c r="R1" s="2" t="s">
        <v>17</v>
      </c>
      <c r="S1" s="2" t="s">
        <v>18</v>
      </c>
      <c r="T1" t="s">
        <v>19</v>
      </c>
      <c r="U1" t="s">
        <v>20</v>
      </c>
    </row>
    <row r="2" spans="1:21" x14ac:dyDescent="0.3">
      <c r="A2" t="s">
        <v>21</v>
      </c>
      <c r="B2" s="1">
        <v>41913</v>
      </c>
      <c r="C2" s="1">
        <v>41920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s="2">
        <v>96</v>
      </c>
      <c r="P2">
        <v>4</v>
      </c>
      <c r="Q2" s="3">
        <v>0.17</v>
      </c>
      <c r="R2" s="2">
        <v>-2.3039999999999998</v>
      </c>
      <c r="S2" s="2">
        <v>8.34</v>
      </c>
      <c r="T2" t="s">
        <v>33</v>
      </c>
      <c r="U2">
        <v>2014</v>
      </c>
    </row>
    <row r="3" spans="1:21" x14ac:dyDescent="0.3">
      <c r="A3" t="s">
        <v>34</v>
      </c>
      <c r="B3" s="1">
        <v>41883</v>
      </c>
      <c r="C3" s="1">
        <v>41889</v>
      </c>
      <c r="D3" t="s">
        <v>22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30</v>
      </c>
      <c r="M3" t="s">
        <v>42</v>
      </c>
      <c r="N3" t="s">
        <v>43</v>
      </c>
      <c r="O3" s="2">
        <v>113</v>
      </c>
      <c r="P3">
        <v>2</v>
      </c>
      <c r="Q3" s="3">
        <v>0</v>
      </c>
      <c r="R3" s="2">
        <v>51.72</v>
      </c>
      <c r="S3" s="2">
        <v>1.42</v>
      </c>
      <c r="T3" t="s">
        <v>33</v>
      </c>
      <c r="U3">
        <v>2014</v>
      </c>
    </row>
    <row r="4" spans="1:21" x14ac:dyDescent="0.3">
      <c r="A4" t="s">
        <v>44</v>
      </c>
      <c r="B4" s="1">
        <v>41653</v>
      </c>
      <c r="C4" s="1">
        <v>41658</v>
      </c>
      <c r="D4" t="s">
        <v>45</v>
      </c>
      <c r="E4" t="s">
        <v>46</v>
      </c>
      <c r="F4" t="s">
        <v>24</v>
      </c>
      <c r="G4" t="s">
        <v>47</v>
      </c>
      <c r="H4" t="s">
        <v>48</v>
      </c>
      <c r="I4" t="s">
        <v>49</v>
      </c>
      <c r="J4" t="s">
        <v>40</v>
      </c>
      <c r="K4" t="s">
        <v>50</v>
      </c>
      <c r="L4" t="s">
        <v>30</v>
      </c>
      <c r="M4" t="s">
        <v>31</v>
      </c>
      <c r="N4" t="s">
        <v>51</v>
      </c>
      <c r="O4" s="2">
        <v>34</v>
      </c>
      <c r="P4">
        <v>3</v>
      </c>
      <c r="Q4" s="3">
        <v>0</v>
      </c>
      <c r="R4" s="2">
        <v>8.91</v>
      </c>
      <c r="S4" s="2">
        <v>4.75</v>
      </c>
      <c r="T4" t="s">
        <v>33</v>
      </c>
      <c r="U4">
        <v>2014</v>
      </c>
    </row>
    <row r="5" spans="1:21" x14ac:dyDescent="0.3">
      <c r="A5" t="s">
        <v>52</v>
      </c>
      <c r="B5" s="1">
        <v>40569</v>
      </c>
      <c r="C5" s="1">
        <v>40572</v>
      </c>
      <c r="D5" t="s">
        <v>45</v>
      </c>
      <c r="E5" t="s">
        <v>53</v>
      </c>
      <c r="F5" t="s">
        <v>54</v>
      </c>
      <c r="G5" t="s">
        <v>55</v>
      </c>
      <c r="H5" t="s">
        <v>56</v>
      </c>
      <c r="I5" t="s">
        <v>49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s="2">
        <v>177</v>
      </c>
      <c r="P5">
        <v>8</v>
      </c>
      <c r="Q5" s="3">
        <v>0</v>
      </c>
      <c r="R5" s="2">
        <v>0</v>
      </c>
      <c r="S5" s="2">
        <v>0.61</v>
      </c>
      <c r="T5" t="s">
        <v>33</v>
      </c>
      <c r="U5">
        <v>2011</v>
      </c>
    </row>
    <row r="6" spans="1:21" x14ac:dyDescent="0.3">
      <c r="A6" t="s">
        <v>62</v>
      </c>
      <c r="B6" s="1">
        <v>41883</v>
      </c>
      <c r="C6" s="1">
        <v>41885</v>
      </c>
      <c r="D6" t="s">
        <v>45</v>
      </c>
      <c r="E6" t="s">
        <v>63</v>
      </c>
      <c r="F6" t="s">
        <v>54</v>
      </c>
      <c r="G6" t="s">
        <v>64</v>
      </c>
      <c r="H6" t="s">
        <v>56</v>
      </c>
      <c r="I6" t="s">
        <v>49</v>
      </c>
      <c r="J6" t="s">
        <v>57</v>
      </c>
      <c r="K6" t="s">
        <v>65</v>
      </c>
      <c r="L6" t="s">
        <v>30</v>
      </c>
      <c r="M6" t="s">
        <v>66</v>
      </c>
      <c r="N6" t="s">
        <v>67</v>
      </c>
      <c r="O6" s="2">
        <v>48</v>
      </c>
      <c r="P6">
        <v>1</v>
      </c>
      <c r="Q6" s="3">
        <v>0.1</v>
      </c>
      <c r="R6" s="2">
        <v>1.0469999999999999</v>
      </c>
      <c r="S6" s="2">
        <v>8.9499999999999993</v>
      </c>
      <c r="T6" t="s">
        <v>68</v>
      </c>
      <c r="U6">
        <v>2014</v>
      </c>
    </row>
    <row r="7" spans="1:21" x14ac:dyDescent="0.3">
      <c r="A7" t="s">
        <v>69</v>
      </c>
      <c r="B7" s="1">
        <v>41663</v>
      </c>
      <c r="C7" s="1">
        <v>41670</v>
      </c>
      <c r="D7" t="s">
        <v>22</v>
      </c>
      <c r="E7" t="s">
        <v>70</v>
      </c>
      <c r="F7" t="s">
        <v>54</v>
      </c>
      <c r="G7" t="s">
        <v>71</v>
      </c>
      <c r="H7" t="s">
        <v>72</v>
      </c>
      <c r="I7" t="s">
        <v>27</v>
      </c>
      <c r="J7" t="s">
        <v>73</v>
      </c>
      <c r="K7" t="s">
        <v>74</v>
      </c>
      <c r="L7" t="s">
        <v>30</v>
      </c>
      <c r="M7" t="s">
        <v>75</v>
      </c>
      <c r="N7" t="s">
        <v>76</v>
      </c>
      <c r="O7" s="2">
        <v>55</v>
      </c>
      <c r="P7">
        <v>5</v>
      </c>
      <c r="Q7" s="3">
        <v>0</v>
      </c>
      <c r="R7" s="2">
        <v>18.45</v>
      </c>
      <c r="S7" s="2">
        <v>8.98</v>
      </c>
      <c r="T7" t="s">
        <v>77</v>
      </c>
      <c r="U7">
        <v>2014</v>
      </c>
    </row>
    <row r="8" spans="1:21" x14ac:dyDescent="0.3">
      <c r="A8" t="s">
        <v>78</v>
      </c>
      <c r="B8" s="1">
        <v>41664</v>
      </c>
      <c r="C8" s="1">
        <v>41668</v>
      </c>
      <c r="D8" t="s">
        <v>22</v>
      </c>
      <c r="E8" t="s">
        <v>79</v>
      </c>
      <c r="F8" t="s">
        <v>54</v>
      </c>
      <c r="G8" t="s">
        <v>80</v>
      </c>
      <c r="H8" t="s">
        <v>72</v>
      </c>
      <c r="I8" t="s">
        <v>27</v>
      </c>
      <c r="J8" t="s">
        <v>73</v>
      </c>
      <c r="K8" t="s">
        <v>81</v>
      </c>
      <c r="L8" t="s">
        <v>30</v>
      </c>
      <c r="M8" t="s">
        <v>75</v>
      </c>
      <c r="N8" t="s">
        <v>82</v>
      </c>
      <c r="O8" s="2">
        <v>9</v>
      </c>
      <c r="P8">
        <v>1</v>
      </c>
      <c r="Q8" s="3">
        <v>0</v>
      </c>
      <c r="R8" s="2">
        <v>3.33</v>
      </c>
      <c r="S8" s="2">
        <v>0.79</v>
      </c>
      <c r="T8" t="s">
        <v>33</v>
      </c>
      <c r="U8">
        <v>2014</v>
      </c>
    </row>
    <row r="9" spans="1:21" x14ac:dyDescent="0.3">
      <c r="A9" t="s">
        <v>83</v>
      </c>
      <c r="B9" s="1">
        <v>41656</v>
      </c>
      <c r="C9" s="1">
        <v>41659</v>
      </c>
      <c r="D9" t="s">
        <v>84</v>
      </c>
      <c r="E9" t="s">
        <v>85</v>
      </c>
      <c r="F9" t="s">
        <v>54</v>
      </c>
      <c r="G9" t="s">
        <v>86</v>
      </c>
      <c r="H9" t="s">
        <v>87</v>
      </c>
      <c r="I9" t="s">
        <v>88</v>
      </c>
      <c r="J9" t="s">
        <v>88</v>
      </c>
      <c r="K9" t="s">
        <v>89</v>
      </c>
      <c r="L9" t="s">
        <v>30</v>
      </c>
      <c r="M9" t="s">
        <v>90</v>
      </c>
      <c r="N9" t="s">
        <v>91</v>
      </c>
      <c r="O9" s="2">
        <v>10</v>
      </c>
      <c r="P9">
        <v>1</v>
      </c>
      <c r="Q9" s="3">
        <v>0.6</v>
      </c>
      <c r="R9" s="2">
        <v>-6.774</v>
      </c>
      <c r="S9" s="2">
        <v>2.4900000000000002</v>
      </c>
      <c r="T9" t="s">
        <v>33</v>
      </c>
      <c r="U9">
        <v>2014</v>
      </c>
    </row>
    <row r="10" spans="1:21" x14ac:dyDescent="0.3">
      <c r="A10" t="s">
        <v>92</v>
      </c>
      <c r="B10" s="1">
        <v>41290</v>
      </c>
      <c r="C10" s="1">
        <v>41294</v>
      </c>
      <c r="D10" t="s">
        <v>22</v>
      </c>
      <c r="E10" t="s">
        <v>93</v>
      </c>
      <c r="F10" t="s">
        <v>54</v>
      </c>
      <c r="G10" t="s">
        <v>94</v>
      </c>
      <c r="H10" t="s">
        <v>95</v>
      </c>
      <c r="I10" t="s">
        <v>27</v>
      </c>
      <c r="J10" t="s">
        <v>73</v>
      </c>
      <c r="K10" t="s">
        <v>96</v>
      </c>
      <c r="L10" t="s">
        <v>30</v>
      </c>
      <c r="M10" t="s">
        <v>97</v>
      </c>
      <c r="N10" t="s">
        <v>98</v>
      </c>
      <c r="O10" s="2">
        <v>23</v>
      </c>
      <c r="P10">
        <v>3</v>
      </c>
      <c r="Q10" s="3">
        <v>0.5</v>
      </c>
      <c r="R10" s="2">
        <v>-6.6150000000000002</v>
      </c>
      <c r="S10" s="2">
        <v>1.06</v>
      </c>
      <c r="T10" t="s">
        <v>99</v>
      </c>
      <c r="U10">
        <v>2013</v>
      </c>
    </row>
    <row r="11" spans="1:21" x14ac:dyDescent="0.3">
      <c r="A11" t="s">
        <v>100</v>
      </c>
      <c r="B11" s="1">
        <v>41579</v>
      </c>
      <c r="C11" s="1">
        <v>41583</v>
      </c>
      <c r="D11" t="s">
        <v>22</v>
      </c>
      <c r="E11" t="s">
        <v>101</v>
      </c>
      <c r="F11" t="s">
        <v>36</v>
      </c>
      <c r="G11" t="s">
        <v>102</v>
      </c>
      <c r="H11" t="s">
        <v>103</v>
      </c>
      <c r="I11" t="s">
        <v>39</v>
      </c>
      <c r="J11" t="s">
        <v>57</v>
      </c>
      <c r="K11" t="s">
        <v>104</v>
      </c>
      <c r="L11" t="s">
        <v>30</v>
      </c>
      <c r="M11" t="s">
        <v>105</v>
      </c>
      <c r="N11" t="s">
        <v>106</v>
      </c>
      <c r="O11" s="2">
        <v>42</v>
      </c>
      <c r="P11">
        <v>4</v>
      </c>
      <c r="Q11" s="3">
        <v>0.4</v>
      </c>
      <c r="R11" s="2">
        <v>-19.135999999999999</v>
      </c>
      <c r="S11" s="2">
        <v>5.32</v>
      </c>
      <c r="T11" t="s">
        <v>99</v>
      </c>
      <c r="U11">
        <v>2013</v>
      </c>
    </row>
    <row r="12" spans="1:21" x14ac:dyDescent="0.3">
      <c r="A12" t="s">
        <v>107</v>
      </c>
      <c r="B12" s="1">
        <v>41305</v>
      </c>
      <c r="C12" s="1">
        <v>41307</v>
      </c>
      <c r="D12" t="s">
        <v>45</v>
      </c>
      <c r="E12" t="s">
        <v>108</v>
      </c>
      <c r="F12" t="s">
        <v>24</v>
      </c>
      <c r="G12" t="s">
        <v>109</v>
      </c>
      <c r="H12" t="s">
        <v>110</v>
      </c>
      <c r="I12" t="s">
        <v>88</v>
      </c>
      <c r="J12" t="s">
        <v>88</v>
      </c>
      <c r="K12" t="s">
        <v>111</v>
      </c>
      <c r="L12" t="s">
        <v>30</v>
      </c>
      <c r="M12" t="s">
        <v>90</v>
      </c>
      <c r="N12" t="s">
        <v>112</v>
      </c>
      <c r="O12" s="2">
        <v>75</v>
      </c>
      <c r="P12">
        <v>4</v>
      </c>
      <c r="Q12" s="3">
        <v>0</v>
      </c>
      <c r="R12" s="2">
        <v>18.84</v>
      </c>
      <c r="S12" s="2">
        <v>10.95</v>
      </c>
      <c r="T12" t="s">
        <v>99</v>
      </c>
      <c r="U12">
        <v>2013</v>
      </c>
    </row>
    <row r="13" spans="1:21" x14ac:dyDescent="0.3">
      <c r="A13" t="s">
        <v>113</v>
      </c>
      <c r="B13" s="1">
        <v>41426</v>
      </c>
      <c r="C13" s="1">
        <v>41428</v>
      </c>
      <c r="D13" t="s">
        <v>84</v>
      </c>
      <c r="E13" t="s">
        <v>114</v>
      </c>
      <c r="F13" t="s">
        <v>54</v>
      </c>
      <c r="G13" t="s">
        <v>115</v>
      </c>
      <c r="H13" t="s">
        <v>116</v>
      </c>
      <c r="I13" t="s">
        <v>117</v>
      </c>
      <c r="J13" t="s">
        <v>117</v>
      </c>
      <c r="K13" t="s">
        <v>118</v>
      </c>
      <c r="L13" t="s">
        <v>30</v>
      </c>
      <c r="M13" t="s">
        <v>31</v>
      </c>
      <c r="N13" t="s">
        <v>119</v>
      </c>
      <c r="O13" s="2">
        <v>29</v>
      </c>
      <c r="P13">
        <v>6</v>
      </c>
      <c r="Q13" s="3">
        <v>0</v>
      </c>
      <c r="R13" s="2">
        <v>12.24</v>
      </c>
      <c r="S13" s="2">
        <v>6.24</v>
      </c>
      <c r="T13" t="s">
        <v>33</v>
      </c>
      <c r="U13">
        <v>2013</v>
      </c>
    </row>
    <row r="14" spans="1:21" x14ac:dyDescent="0.3">
      <c r="A14" t="s">
        <v>120</v>
      </c>
      <c r="B14" s="1">
        <v>40569</v>
      </c>
      <c r="C14" s="1">
        <v>40571</v>
      </c>
      <c r="D14" t="s">
        <v>45</v>
      </c>
      <c r="E14" t="s">
        <v>121</v>
      </c>
      <c r="F14" t="s">
        <v>36</v>
      </c>
      <c r="G14" t="s">
        <v>122</v>
      </c>
      <c r="H14" t="s">
        <v>72</v>
      </c>
      <c r="I14" t="s">
        <v>27</v>
      </c>
      <c r="J14" t="s">
        <v>73</v>
      </c>
      <c r="K14" t="s">
        <v>123</v>
      </c>
      <c r="L14" t="s">
        <v>30</v>
      </c>
      <c r="M14" t="s">
        <v>105</v>
      </c>
      <c r="N14" t="s">
        <v>124</v>
      </c>
      <c r="O14" s="2">
        <v>79</v>
      </c>
      <c r="P14">
        <v>3</v>
      </c>
      <c r="Q14" s="3">
        <v>0</v>
      </c>
      <c r="R14" s="2">
        <v>25.38</v>
      </c>
      <c r="S14" s="2">
        <v>13.82</v>
      </c>
      <c r="T14" t="s">
        <v>99</v>
      </c>
      <c r="U14">
        <v>2011</v>
      </c>
    </row>
    <row r="15" spans="1:21" x14ac:dyDescent="0.3">
      <c r="A15" t="s">
        <v>125</v>
      </c>
      <c r="B15" s="1">
        <v>41292</v>
      </c>
      <c r="C15" s="1">
        <v>41299</v>
      </c>
      <c r="D15" t="s">
        <v>22</v>
      </c>
      <c r="E15" t="s">
        <v>126</v>
      </c>
      <c r="F15" t="s">
        <v>24</v>
      </c>
      <c r="G15" t="s">
        <v>127</v>
      </c>
      <c r="H15" t="s">
        <v>128</v>
      </c>
      <c r="I15" t="s">
        <v>49</v>
      </c>
      <c r="J15" t="s">
        <v>129</v>
      </c>
      <c r="K15" t="s">
        <v>130</v>
      </c>
      <c r="L15" t="s">
        <v>30</v>
      </c>
      <c r="M15" t="s">
        <v>66</v>
      </c>
      <c r="N15" t="s">
        <v>131</v>
      </c>
      <c r="O15" s="2">
        <v>152</v>
      </c>
      <c r="P15">
        <v>5</v>
      </c>
      <c r="Q15" s="3">
        <v>0.5</v>
      </c>
      <c r="R15" s="2">
        <v>-3.0750000000000002</v>
      </c>
      <c r="S15" s="2">
        <v>10.02</v>
      </c>
      <c r="T15" t="s">
        <v>33</v>
      </c>
      <c r="U15">
        <v>2013</v>
      </c>
    </row>
    <row r="16" spans="1:21" x14ac:dyDescent="0.3">
      <c r="A16" t="s">
        <v>132</v>
      </c>
      <c r="B16" s="1">
        <v>41670</v>
      </c>
      <c r="C16" s="1">
        <v>41677</v>
      </c>
      <c r="D16" t="s">
        <v>22</v>
      </c>
      <c r="E16" t="s">
        <v>133</v>
      </c>
      <c r="F16" t="s">
        <v>36</v>
      </c>
      <c r="G16" t="s">
        <v>134</v>
      </c>
      <c r="H16" t="s">
        <v>135</v>
      </c>
      <c r="I16" t="s">
        <v>136</v>
      </c>
      <c r="J16" t="s">
        <v>137</v>
      </c>
      <c r="K16" t="s">
        <v>138</v>
      </c>
      <c r="L16" t="s">
        <v>59</v>
      </c>
      <c r="M16" t="s">
        <v>139</v>
      </c>
      <c r="N16" t="s">
        <v>140</v>
      </c>
      <c r="O16" s="2">
        <v>121</v>
      </c>
      <c r="P16">
        <v>1</v>
      </c>
      <c r="Q16" s="3">
        <v>0.2</v>
      </c>
      <c r="R16" s="2">
        <v>-13.588200000000001</v>
      </c>
      <c r="S16" s="2">
        <v>14.17</v>
      </c>
      <c r="T16" t="s">
        <v>77</v>
      </c>
      <c r="U16">
        <v>2014</v>
      </c>
    </row>
    <row r="17" spans="1:21" x14ac:dyDescent="0.3">
      <c r="A17" t="s">
        <v>141</v>
      </c>
      <c r="B17" s="1">
        <v>40925</v>
      </c>
      <c r="C17" s="1">
        <v>40931</v>
      </c>
      <c r="D17" t="s">
        <v>22</v>
      </c>
      <c r="E17" t="s">
        <v>142</v>
      </c>
      <c r="F17" t="s">
        <v>54</v>
      </c>
      <c r="G17" t="s">
        <v>143</v>
      </c>
      <c r="H17" t="s">
        <v>144</v>
      </c>
      <c r="I17" t="s">
        <v>117</v>
      </c>
      <c r="J17" t="s">
        <v>117</v>
      </c>
      <c r="K17" t="s">
        <v>145</v>
      </c>
      <c r="L17" t="s">
        <v>146</v>
      </c>
      <c r="M17" t="s">
        <v>147</v>
      </c>
      <c r="N17" t="s">
        <v>148</v>
      </c>
      <c r="O17" s="2">
        <v>24</v>
      </c>
      <c r="P17">
        <v>1</v>
      </c>
      <c r="Q17" s="3">
        <v>0.7</v>
      </c>
      <c r="R17" s="2">
        <v>-23.385000000000002</v>
      </c>
      <c r="S17" s="2">
        <v>1.78</v>
      </c>
      <c r="T17" t="s">
        <v>33</v>
      </c>
      <c r="U17">
        <v>2012</v>
      </c>
    </row>
    <row r="18" spans="1:21" x14ac:dyDescent="0.3">
      <c r="A18" t="s">
        <v>149</v>
      </c>
      <c r="B18" s="1">
        <v>41656</v>
      </c>
      <c r="C18" s="1">
        <v>41661</v>
      </c>
      <c r="D18" t="s">
        <v>22</v>
      </c>
      <c r="E18" t="s">
        <v>150</v>
      </c>
      <c r="F18" t="s">
        <v>54</v>
      </c>
      <c r="G18" t="s">
        <v>151</v>
      </c>
      <c r="H18" t="s">
        <v>152</v>
      </c>
      <c r="I18" t="s">
        <v>27</v>
      </c>
      <c r="J18" t="s">
        <v>153</v>
      </c>
      <c r="K18" t="s">
        <v>154</v>
      </c>
      <c r="L18" t="s">
        <v>30</v>
      </c>
      <c r="M18" t="s">
        <v>75</v>
      </c>
      <c r="N18" t="s">
        <v>155</v>
      </c>
      <c r="O18" s="2">
        <v>77</v>
      </c>
      <c r="P18">
        <v>6</v>
      </c>
      <c r="Q18" s="3">
        <v>0</v>
      </c>
      <c r="R18" s="2">
        <v>17.64</v>
      </c>
      <c r="S18" s="2">
        <v>6.06</v>
      </c>
      <c r="T18" t="s">
        <v>33</v>
      </c>
      <c r="U18">
        <v>2014</v>
      </c>
    </row>
    <row r="19" spans="1:21" x14ac:dyDescent="0.3">
      <c r="A19" t="s">
        <v>156</v>
      </c>
      <c r="B19" s="1">
        <v>40848</v>
      </c>
      <c r="C19" s="1">
        <v>40855</v>
      </c>
      <c r="D19" t="s">
        <v>22</v>
      </c>
      <c r="E19" t="s">
        <v>157</v>
      </c>
      <c r="F19" t="s">
        <v>24</v>
      </c>
      <c r="G19" t="s">
        <v>158</v>
      </c>
      <c r="H19" t="s">
        <v>135</v>
      </c>
      <c r="I19" t="s">
        <v>136</v>
      </c>
      <c r="J19" t="s">
        <v>57</v>
      </c>
      <c r="K19" t="s">
        <v>159</v>
      </c>
      <c r="L19" t="s">
        <v>30</v>
      </c>
      <c r="M19" t="s">
        <v>105</v>
      </c>
      <c r="N19" t="s">
        <v>160</v>
      </c>
      <c r="O19" s="2">
        <v>16</v>
      </c>
      <c r="P19">
        <v>3</v>
      </c>
      <c r="Q19" s="3">
        <v>0.2</v>
      </c>
      <c r="R19" s="2">
        <v>5.1012000000000004</v>
      </c>
      <c r="S19" s="2">
        <v>1.82</v>
      </c>
      <c r="T19" t="s">
        <v>77</v>
      </c>
      <c r="U19">
        <v>2011</v>
      </c>
    </row>
    <row r="20" spans="1:21" x14ac:dyDescent="0.3">
      <c r="A20" t="s">
        <v>161</v>
      </c>
      <c r="B20" s="1">
        <v>41659</v>
      </c>
      <c r="C20" s="1">
        <v>41663</v>
      </c>
      <c r="D20" t="s">
        <v>22</v>
      </c>
      <c r="E20" t="s">
        <v>162</v>
      </c>
      <c r="F20" t="s">
        <v>36</v>
      </c>
      <c r="G20" t="s">
        <v>163</v>
      </c>
      <c r="H20" t="s">
        <v>164</v>
      </c>
      <c r="I20" t="s">
        <v>117</v>
      </c>
      <c r="J20" t="s">
        <v>117</v>
      </c>
      <c r="K20" t="s">
        <v>165</v>
      </c>
      <c r="L20" t="s">
        <v>146</v>
      </c>
      <c r="M20" t="s">
        <v>147</v>
      </c>
      <c r="N20" t="s">
        <v>166</v>
      </c>
      <c r="O20" s="2">
        <v>354</v>
      </c>
      <c r="P20">
        <v>4</v>
      </c>
      <c r="Q20" s="3">
        <v>0</v>
      </c>
      <c r="R20" s="2">
        <v>14.16</v>
      </c>
      <c r="S20" s="2">
        <v>62.9</v>
      </c>
      <c r="T20" t="s">
        <v>99</v>
      </c>
      <c r="U20">
        <v>2014</v>
      </c>
    </row>
    <row r="21" spans="1:21" x14ac:dyDescent="0.3">
      <c r="A21" t="s">
        <v>167</v>
      </c>
      <c r="B21" s="1">
        <v>41821</v>
      </c>
      <c r="C21" s="1">
        <v>41825</v>
      </c>
      <c r="D21" t="s">
        <v>22</v>
      </c>
      <c r="E21" t="s">
        <v>168</v>
      </c>
      <c r="F21" t="s">
        <v>24</v>
      </c>
      <c r="G21" t="s">
        <v>169</v>
      </c>
      <c r="H21" t="s">
        <v>152</v>
      </c>
      <c r="I21" t="s">
        <v>27</v>
      </c>
      <c r="J21" t="s">
        <v>153</v>
      </c>
      <c r="K21" t="s">
        <v>170</v>
      </c>
      <c r="L21" t="s">
        <v>30</v>
      </c>
      <c r="M21" t="s">
        <v>31</v>
      </c>
      <c r="N21" t="s">
        <v>171</v>
      </c>
      <c r="O21" s="2">
        <v>13</v>
      </c>
      <c r="P21">
        <v>2</v>
      </c>
      <c r="Q21" s="3">
        <v>0</v>
      </c>
      <c r="R21" s="2">
        <v>4.92</v>
      </c>
      <c r="S21" s="2">
        <v>1.91</v>
      </c>
      <c r="T21" t="s">
        <v>99</v>
      </c>
      <c r="U21">
        <v>2014</v>
      </c>
    </row>
    <row r="22" spans="1:21" x14ac:dyDescent="0.3">
      <c r="A22" t="s">
        <v>172</v>
      </c>
      <c r="B22" s="1">
        <v>40564</v>
      </c>
      <c r="C22" s="1">
        <v>40570</v>
      </c>
      <c r="D22" t="s">
        <v>22</v>
      </c>
      <c r="E22" t="s">
        <v>173</v>
      </c>
      <c r="F22" t="s">
        <v>24</v>
      </c>
      <c r="G22" t="s">
        <v>174</v>
      </c>
      <c r="H22" t="s">
        <v>175</v>
      </c>
      <c r="I22" t="s">
        <v>88</v>
      </c>
      <c r="J22" t="s">
        <v>88</v>
      </c>
      <c r="K22" t="s">
        <v>176</v>
      </c>
      <c r="L22" t="s">
        <v>30</v>
      </c>
      <c r="M22" t="s">
        <v>66</v>
      </c>
      <c r="N22" t="s">
        <v>177</v>
      </c>
      <c r="O22" s="2">
        <v>1244</v>
      </c>
      <c r="P22">
        <v>6</v>
      </c>
      <c r="Q22" s="3">
        <v>0</v>
      </c>
      <c r="R22" s="2">
        <v>211.5</v>
      </c>
      <c r="S22" s="2">
        <v>88.66</v>
      </c>
      <c r="T22" t="s">
        <v>33</v>
      </c>
      <c r="U22">
        <v>2011</v>
      </c>
    </row>
    <row r="23" spans="1:21" x14ac:dyDescent="0.3">
      <c r="A23" t="s">
        <v>178</v>
      </c>
      <c r="B23" s="1">
        <v>41655</v>
      </c>
      <c r="C23" s="1">
        <v>41659</v>
      </c>
      <c r="D23" t="s">
        <v>22</v>
      </c>
      <c r="E23" t="s">
        <v>179</v>
      </c>
      <c r="F23" t="s">
        <v>36</v>
      </c>
      <c r="G23" t="s">
        <v>127</v>
      </c>
      <c r="H23" t="s">
        <v>128</v>
      </c>
      <c r="I23" t="s">
        <v>49</v>
      </c>
      <c r="J23" t="s">
        <v>129</v>
      </c>
      <c r="K23" t="s">
        <v>180</v>
      </c>
      <c r="L23" t="s">
        <v>30</v>
      </c>
      <c r="M23" t="s">
        <v>90</v>
      </c>
      <c r="N23" t="s">
        <v>181</v>
      </c>
      <c r="O23" s="2">
        <v>93</v>
      </c>
      <c r="P23">
        <v>2</v>
      </c>
      <c r="Q23" s="3">
        <v>0</v>
      </c>
      <c r="R23" s="2">
        <v>43.92</v>
      </c>
      <c r="S23" s="2">
        <v>6.37</v>
      </c>
      <c r="T23" t="s">
        <v>33</v>
      </c>
      <c r="U23">
        <v>2014</v>
      </c>
    </row>
    <row r="24" spans="1:21" x14ac:dyDescent="0.3">
      <c r="A24" t="s">
        <v>182</v>
      </c>
      <c r="B24" s="1">
        <v>41183</v>
      </c>
      <c r="C24" s="1">
        <v>41190</v>
      </c>
      <c r="D24" t="s">
        <v>22</v>
      </c>
      <c r="E24" t="s">
        <v>183</v>
      </c>
      <c r="F24" t="s">
        <v>54</v>
      </c>
      <c r="G24" t="s">
        <v>184</v>
      </c>
      <c r="H24" t="s">
        <v>152</v>
      </c>
      <c r="I24" t="s">
        <v>27</v>
      </c>
      <c r="J24" t="s">
        <v>153</v>
      </c>
      <c r="K24" t="s">
        <v>185</v>
      </c>
      <c r="L24" t="s">
        <v>30</v>
      </c>
      <c r="M24" t="s">
        <v>75</v>
      </c>
      <c r="N24" t="s">
        <v>186</v>
      </c>
      <c r="O24" s="2">
        <v>9</v>
      </c>
      <c r="P24">
        <v>1</v>
      </c>
      <c r="Q24" s="3">
        <v>0</v>
      </c>
      <c r="R24" s="2">
        <v>0.24</v>
      </c>
      <c r="S24" s="2">
        <v>0.4</v>
      </c>
      <c r="T24" t="s">
        <v>33</v>
      </c>
      <c r="U24">
        <v>2012</v>
      </c>
    </row>
    <row r="25" spans="1:21" x14ac:dyDescent="0.3">
      <c r="A25" t="s">
        <v>187</v>
      </c>
      <c r="B25" s="1">
        <v>40557</v>
      </c>
      <c r="C25" s="1">
        <v>40562</v>
      </c>
      <c r="D25" t="s">
        <v>22</v>
      </c>
      <c r="E25" t="s">
        <v>188</v>
      </c>
      <c r="F25" t="s">
        <v>54</v>
      </c>
      <c r="G25" t="s">
        <v>134</v>
      </c>
      <c r="H25" t="s">
        <v>135</v>
      </c>
      <c r="I25" t="s">
        <v>136</v>
      </c>
      <c r="J25" t="s">
        <v>137</v>
      </c>
      <c r="K25" t="s">
        <v>189</v>
      </c>
      <c r="L25" t="s">
        <v>30</v>
      </c>
      <c r="M25" t="s">
        <v>66</v>
      </c>
      <c r="N25" t="s">
        <v>190</v>
      </c>
      <c r="O25" s="2">
        <v>1326</v>
      </c>
      <c r="P25">
        <v>5</v>
      </c>
      <c r="Q25" s="3">
        <v>0</v>
      </c>
      <c r="R25" s="2">
        <v>238.65299999999999</v>
      </c>
      <c r="S25" s="2">
        <v>187.65</v>
      </c>
      <c r="T25" t="s">
        <v>99</v>
      </c>
      <c r="U25">
        <v>2011</v>
      </c>
    </row>
    <row r="26" spans="1:21" x14ac:dyDescent="0.3">
      <c r="A26" t="s">
        <v>191</v>
      </c>
      <c r="B26" s="1">
        <v>41669</v>
      </c>
      <c r="C26" s="1">
        <v>41673</v>
      </c>
      <c r="D26" t="s">
        <v>22</v>
      </c>
      <c r="E26" t="s">
        <v>192</v>
      </c>
      <c r="F26" t="s">
        <v>24</v>
      </c>
      <c r="G26" t="s">
        <v>193</v>
      </c>
      <c r="H26" t="s">
        <v>152</v>
      </c>
      <c r="I26" t="s">
        <v>27</v>
      </c>
      <c r="J26" t="s">
        <v>153</v>
      </c>
      <c r="K26" t="s">
        <v>194</v>
      </c>
      <c r="L26" t="s">
        <v>146</v>
      </c>
      <c r="M26" t="s">
        <v>195</v>
      </c>
      <c r="N26" t="s">
        <v>196</v>
      </c>
      <c r="O26" s="2">
        <v>170</v>
      </c>
      <c r="P26">
        <v>2</v>
      </c>
      <c r="Q26" s="3">
        <v>0</v>
      </c>
      <c r="R26" s="2">
        <v>27.18</v>
      </c>
      <c r="S26" s="2">
        <v>15.06</v>
      </c>
      <c r="T26" t="s">
        <v>99</v>
      </c>
      <c r="U26">
        <v>2014</v>
      </c>
    </row>
    <row r="27" spans="1:21" x14ac:dyDescent="0.3">
      <c r="A27" t="s">
        <v>197</v>
      </c>
      <c r="B27" s="1">
        <v>41299</v>
      </c>
      <c r="C27" s="1">
        <v>41304</v>
      </c>
      <c r="D27" t="s">
        <v>22</v>
      </c>
      <c r="E27" t="s">
        <v>198</v>
      </c>
      <c r="F27" t="s">
        <v>24</v>
      </c>
      <c r="G27" t="s">
        <v>199</v>
      </c>
      <c r="H27" t="s">
        <v>144</v>
      </c>
      <c r="I27" t="s">
        <v>117</v>
      </c>
      <c r="J27" t="s">
        <v>117</v>
      </c>
      <c r="K27" t="s">
        <v>200</v>
      </c>
      <c r="L27" t="s">
        <v>30</v>
      </c>
      <c r="M27" t="s">
        <v>66</v>
      </c>
      <c r="N27" t="s">
        <v>201</v>
      </c>
      <c r="O27" s="2">
        <v>3</v>
      </c>
      <c r="P27">
        <v>1</v>
      </c>
      <c r="Q27" s="3">
        <v>0.7</v>
      </c>
      <c r="R27" s="2">
        <v>-4.7699999999999996</v>
      </c>
      <c r="S27" s="2">
        <v>0.23</v>
      </c>
      <c r="T27" t="s">
        <v>33</v>
      </c>
      <c r="U27">
        <v>2013</v>
      </c>
    </row>
    <row r="28" spans="1:21" x14ac:dyDescent="0.3">
      <c r="A28" t="s">
        <v>202</v>
      </c>
      <c r="B28" s="1">
        <v>41656</v>
      </c>
      <c r="C28" s="1">
        <v>41660</v>
      </c>
      <c r="D28" t="s">
        <v>22</v>
      </c>
      <c r="E28" t="s">
        <v>203</v>
      </c>
      <c r="F28" t="s">
        <v>24</v>
      </c>
      <c r="G28" t="s">
        <v>204</v>
      </c>
      <c r="H28" t="s">
        <v>205</v>
      </c>
      <c r="I28" t="s">
        <v>49</v>
      </c>
      <c r="J28" t="s">
        <v>57</v>
      </c>
      <c r="K28" t="s">
        <v>206</v>
      </c>
      <c r="L28" t="s">
        <v>30</v>
      </c>
      <c r="M28" t="s">
        <v>75</v>
      </c>
      <c r="N28" t="s">
        <v>207</v>
      </c>
      <c r="O28" s="2">
        <v>17</v>
      </c>
      <c r="P28">
        <v>2</v>
      </c>
      <c r="Q28" s="3">
        <v>0</v>
      </c>
      <c r="R28" s="2">
        <v>2.04</v>
      </c>
      <c r="S28" s="2">
        <v>2.17</v>
      </c>
      <c r="T28" t="s">
        <v>99</v>
      </c>
      <c r="U28">
        <v>2014</v>
      </c>
    </row>
    <row r="29" spans="1:21" x14ac:dyDescent="0.3">
      <c r="A29" t="s">
        <v>208</v>
      </c>
      <c r="B29" s="1">
        <v>40574</v>
      </c>
      <c r="C29" s="1">
        <v>40580</v>
      </c>
      <c r="D29" t="s">
        <v>22</v>
      </c>
      <c r="E29" t="s">
        <v>209</v>
      </c>
      <c r="F29" t="s">
        <v>54</v>
      </c>
      <c r="G29" t="s">
        <v>210</v>
      </c>
      <c r="H29" t="s">
        <v>211</v>
      </c>
      <c r="I29" t="s">
        <v>27</v>
      </c>
      <c r="J29" t="s">
        <v>212</v>
      </c>
      <c r="K29" t="s">
        <v>213</v>
      </c>
      <c r="L29" t="s">
        <v>146</v>
      </c>
      <c r="M29" t="s">
        <v>147</v>
      </c>
      <c r="N29" t="s">
        <v>214</v>
      </c>
      <c r="O29" s="2">
        <v>2571</v>
      </c>
      <c r="P29">
        <v>4</v>
      </c>
      <c r="Q29" s="3">
        <v>0</v>
      </c>
      <c r="R29" s="2">
        <v>102.84</v>
      </c>
      <c r="S29" s="2">
        <v>129</v>
      </c>
      <c r="T29" t="s">
        <v>33</v>
      </c>
      <c r="U29">
        <v>2011</v>
      </c>
    </row>
    <row r="30" spans="1:21" x14ac:dyDescent="0.3">
      <c r="A30" t="s">
        <v>215</v>
      </c>
      <c r="B30" s="1">
        <v>41974</v>
      </c>
      <c r="C30" s="1">
        <v>41978</v>
      </c>
      <c r="D30" t="s">
        <v>22</v>
      </c>
      <c r="E30" t="s">
        <v>216</v>
      </c>
      <c r="F30" t="s">
        <v>54</v>
      </c>
      <c r="G30" t="s">
        <v>217</v>
      </c>
      <c r="H30" t="s">
        <v>218</v>
      </c>
      <c r="I30" t="s">
        <v>218</v>
      </c>
      <c r="J30" t="s">
        <v>218</v>
      </c>
      <c r="K30" t="s">
        <v>219</v>
      </c>
      <c r="L30" t="s">
        <v>146</v>
      </c>
      <c r="M30" t="s">
        <v>147</v>
      </c>
      <c r="N30" t="s">
        <v>220</v>
      </c>
      <c r="O30" s="2">
        <v>304</v>
      </c>
      <c r="P30">
        <v>2</v>
      </c>
      <c r="Q30" s="3">
        <v>0</v>
      </c>
      <c r="R30" s="2">
        <v>75.900000000000006</v>
      </c>
      <c r="S30" s="2">
        <v>14.33</v>
      </c>
      <c r="T30" t="s">
        <v>33</v>
      </c>
      <c r="U30">
        <v>2014</v>
      </c>
    </row>
    <row r="31" spans="1:21" x14ac:dyDescent="0.3">
      <c r="A31" t="s">
        <v>221</v>
      </c>
      <c r="B31" s="1">
        <v>41303</v>
      </c>
      <c r="C31" s="1">
        <v>41305</v>
      </c>
      <c r="D31" t="s">
        <v>45</v>
      </c>
      <c r="E31" t="s">
        <v>222</v>
      </c>
      <c r="F31" t="s">
        <v>54</v>
      </c>
      <c r="G31" t="s">
        <v>223</v>
      </c>
      <c r="H31" t="s">
        <v>224</v>
      </c>
      <c r="I31" t="s">
        <v>49</v>
      </c>
      <c r="J31" t="s">
        <v>40</v>
      </c>
      <c r="K31" t="s">
        <v>225</v>
      </c>
      <c r="L31" t="s">
        <v>30</v>
      </c>
      <c r="M31" t="s">
        <v>90</v>
      </c>
      <c r="N31" t="s">
        <v>226</v>
      </c>
      <c r="O31" s="2">
        <v>104</v>
      </c>
      <c r="P31">
        <v>2</v>
      </c>
      <c r="Q31" s="3">
        <v>0</v>
      </c>
      <c r="R31" s="2">
        <v>15.54</v>
      </c>
      <c r="S31" s="2">
        <v>16.8</v>
      </c>
      <c r="T31" t="s">
        <v>99</v>
      </c>
      <c r="U31">
        <v>2013</v>
      </c>
    </row>
    <row r="32" spans="1:21" x14ac:dyDescent="0.3">
      <c r="A32" t="s">
        <v>227</v>
      </c>
      <c r="B32" s="1">
        <v>40935</v>
      </c>
      <c r="C32" s="1">
        <v>40941</v>
      </c>
      <c r="D32" t="s">
        <v>22</v>
      </c>
      <c r="E32" t="s">
        <v>228</v>
      </c>
      <c r="F32" t="s">
        <v>24</v>
      </c>
      <c r="G32" t="s">
        <v>229</v>
      </c>
      <c r="H32" t="s">
        <v>152</v>
      </c>
      <c r="I32" t="s">
        <v>27</v>
      </c>
      <c r="J32" t="s">
        <v>153</v>
      </c>
      <c r="K32" t="s">
        <v>230</v>
      </c>
      <c r="L32" t="s">
        <v>30</v>
      </c>
      <c r="M32" t="s">
        <v>66</v>
      </c>
      <c r="N32" t="s">
        <v>67</v>
      </c>
      <c r="O32" s="2">
        <v>161</v>
      </c>
      <c r="P32">
        <v>3</v>
      </c>
      <c r="Q32" s="3">
        <v>0</v>
      </c>
      <c r="R32" s="2">
        <v>27.36</v>
      </c>
      <c r="S32" s="2">
        <v>13.42</v>
      </c>
      <c r="T32" t="s">
        <v>33</v>
      </c>
      <c r="U32">
        <v>2012</v>
      </c>
    </row>
    <row r="33" spans="1:21" x14ac:dyDescent="0.3">
      <c r="A33" t="s">
        <v>231</v>
      </c>
      <c r="B33" s="1">
        <v>41395</v>
      </c>
      <c r="C33" s="1">
        <v>41395</v>
      </c>
      <c r="D33" t="s">
        <v>232</v>
      </c>
      <c r="E33" t="s">
        <v>233</v>
      </c>
      <c r="F33" t="s">
        <v>54</v>
      </c>
      <c r="G33" t="s">
        <v>234</v>
      </c>
      <c r="H33" t="s">
        <v>235</v>
      </c>
      <c r="I33" t="s">
        <v>39</v>
      </c>
      <c r="J33" t="s">
        <v>236</v>
      </c>
      <c r="K33" t="s">
        <v>237</v>
      </c>
      <c r="L33" t="s">
        <v>30</v>
      </c>
      <c r="M33" t="s">
        <v>90</v>
      </c>
      <c r="N33" t="s">
        <v>238</v>
      </c>
      <c r="O33" s="2">
        <v>146</v>
      </c>
      <c r="P33">
        <v>6</v>
      </c>
      <c r="Q33" s="3">
        <v>0.2</v>
      </c>
      <c r="R33" s="2">
        <v>-27.384</v>
      </c>
      <c r="S33" s="2">
        <v>41.42</v>
      </c>
      <c r="T33" t="s">
        <v>68</v>
      </c>
      <c r="U33">
        <v>2013</v>
      </c>
    </row>
    <row r="34" spans="1:21" x14ac:dyDescent="0.3">
      <c r="A34" t="s">
        <v>239</v>
      </c>
      <c r="B34" s="1">
        <v>41548</v>
      </c>
      <c r="C34" s="1">
        <v>41552</v>
      </c>
      <c r="D34" t="s">
        <v>22</v>
      </c>
      <c r="E34" t="s">
        <v>240</v>
      </c>
      <c r="F34" t="s">
        <v>24</v>
      </c>
      <c r="G34" t="s">
        <v>241</v>
      </c>
      <c r="H34" t="s">
        <v>242</v>
      </c>
      <c r="I34" t="s">
        <v>27</v>
      </c>
      <c r="J34" t="s">
        <v>153</v>
      </c>
      <c r="K34" t="s">
        <v>243</v>
      </c>
      <c r="L34" t="s">
        <v>30</v>
      </c>
      <c r="M34" t="s">
        <v>66</v>
      </c>
      <c r="N34" t="s">
        <v>244</v>
      </c>
      <c r="O34" s="2">
        <v>68</v>
      </c>
      <c r="P34">
        <v>4</v>
      </c>
      <c r="Q34" s="3">
        <v>0</v>
      </c>
      <c r="R34" s="2">
        <v>10.08</v>
      </c>
      <c r="S34" s="2">
        <v>2.9</v>
      </c>
      <c r="T34" t="s">
        <v>33</v>
      </c>
      <c r="U34">
        <v>2013</v>
      </c>
    </row>
    <row r="35" spans="1:21" x14ac:dyDescent="0.3">
      <c r="A35" t="s">
        <v>245</v>
      </c>
      <c r="B35" s="1">
        <v>41668</v>
      </c>
      <c r="C35" s="1">
        <v>41668</v>
      </c>
      <c r="D35" t="s">
        <v>232</v>
      </c>
      <c r="E35" t="s">
        <v>246</v>
      </c>
      <c r="F35" t="s">
        <v>24</v>
      </c>
      <c r="G35" t="s">
        <v>247</v>
      </c>
      <c r="H35" t="s">
        <v>144</v>
      </c>
      <c r="I35" t="s">
        <v>117</v>
      </c>
      <c r="J35" t="s">
        <v>117</v>
      </c>
      <c r="K35" t="s">
        <v>248</v>
      </c>
      <c r="L35" t="s">
        <v>30</v>
      </c>
      <c r="M35" t="s">
        <v>90</v>
      </c>
      <c r="N35" t="s">
        <v>249</v>
      </c>
      <c r="O35" s="2">
        <v>17</v>
      </c>
      <c r="P35">
        <v>1</v>
      </c>
      <c r="Q35" s="3">
        <v>0.7</v>
      </c>
      <c r="R35" s="2">
        <v>-31.254000000000001</v>
      </c>
      <c r="S35" s="2">
        <v>1.1200000000000001</v>
      </c>
      <c r="T35" t="s">
        <v>99</v>
      </c>
      <c r="U35">
        <v>2014</v>
      </c>
    </row>
    <row r="36" spans="1:21" x14ac:dyDescent="0.3">
      <c r="A36" t="s">
        <v>250</v>
      </c>
      <c r="B36" s="1">
        <v>40756</v>
      </c>
      <c r="C36" s="1">
        <v>40758</v>
      </c>
      <c r="D36" t="s">
        <v>45</v>
      </c>
      <c r="E36" t="s">
        <v>251</v>
      </c>
      <c r="F36" t="s">
        <v>24</v>
      </c>
      <c r="G36" t="s">
        <v>252</v>
      </c>
      <c r="H36" t="s">
        <v>144</v>
      </c>
      <c r="I36" t="s">
        <v>117</v>
      </c>
      <c r="J36" t="s">
        <v>117</v>
      </c>
      <c r="K36" t="s">
        <v>253</v>
      </c>
      <c r="L36" t="s">
        <v>30</v>
      </c>
      <c r="M36" t="s">
        <v>42</v>
      </c>
      <c r="N36" t="s">
        <v>254</v>
      </c>
      <c r="O36" s="2">
        <v>40</v>
      </c>
      <c r="P36">
        <v>2</v>
      </c>
      <c r="Q36" s="3">
        <v>0.7</v>
      </c>
      <c r="R36" s="2">
        <v>-89.742000000000004</v>
      </c>
      <c r="S36" s="2">
        <v>11.29</v>
      </c>
      <c r="T36" t="s">
        <v>68</v>
      </c>
      <c r="U36">
        <v>2011</v>
      </c>
    </row>
    <row r="37" spans="1:21" x14ac:dyDescent="0.3">
      <c r="A37" t="s">
        <v>255</v>
      </c>
      <c r="B37" s="1">
        <v>40756</v>
      </c>
      <c r="C37" s="1">
        <v>40760</v>
      </c>
      <c r="D37" t="s">
        <v>22</v>
      </c>
      <c r="E37" t="s">
        <v>256</v>
      </c>
      <c r="F37" t="s">
        <v>24</v>
      </c>
      <c r="G37" t="s">
        <v>257</v>
      </c>
      <c r="H37" t="s">
        <v>135</v>
      </c>
      <c r="I37" t="s">
        <v>136</v>
      </c>
      <c r="J37" t="s">
        <v>40</v>
      </c>
      <c r="K37" t="s">
        <v>258</v>
      </c>
      <c r="L37" t="s">
        <v>30</v>
      </c>
      <c r="M37" t="s">
        <v>75</v>
      </c>
      <c r="N37" t="s">
        <v>259</v>
      </c>
      <c r="O37" s="2">
        <v>18</v>
      </c>
      <c r="P37">
        <v>3</v>
      </c>
      <c r="Q37" s="3">
        <v>0.2</v>
      </c>
      <c r="R37" s="2">
        <v>5.9211</v>
      </c>
      <c r="S37" s="2">
        <v>0.93</v>
      </c>
      <c r="T37" t="s">
        <v>33</v>
      </c>
      <c r="U37">
        <v>2011</v>
      </c>
    </row>
    <row r="38" spans="1:21" x14ac:dyDescent="0.3">
      <c r="A38" t="s">
        <v>260</v>
      </c>
      <c r="B38" s="1">
        <v>41913</v>
      </c>
      <c r="C38" s="1">
        <v>41918</v>
      </c>
      <c r="D38" t="s">
        <v>22</v>
      </c>
      <c r="E38" t="s">
        <v>261</v>
      </c>
      <c r="F38" t="s">
        <v>54</v>
      </c>
      <c r="G38" t="s">
        <v>262</v>
      </c>
      <c r="H38" t="s">
        <v>263</v>
      </c>
      <c r="I38" t="s">
        <v>49</v>
      </c>
      <c r="J38" t="s">
        <v>40</v>
      </c>
      <c r="K38" t="s">
        <v>264</v>
      </c>
      <c r="L38" t="s">
        <v>146</v>
      </c>
      <c r="M38" t="s">
        <v>147</v>
      </c>
      <c r="N38" t="s">
        <v>265</v>
      </c>
      <c r="O38" s="2">
        <v>143</v>
      </c>
      <c r="P38">
        <v>2</v>
      </c>
      <c r="Q38" s="3">
        <v>0.5</v>
      </c>
      <c r="R38" s="2">
        <v>-128.94</v>
      </c>
      <c r="S38" s="2">
        <v>10.56</v>
      </c>
      <c r="T38" t="s">
        <v>33</v>
      </c>
      <c r="U38">
        <v>2014</v>
      </c>
    </row>
    <row r="39" spans="1:21" x14ac:dyDescent="0.3">
      <c r="A39" t="s">
        <v>266</v>
      </c>
      <c r="B39" s="1">
        <v>40569</v>
      </c>
      <c r="C39" s="1">
        <v>40571</v>
      </c>
      <c r="D39" t="s">
        <v>84</v>
      </c>
      <c r="E39" t="s">
        <v>267</v>
      </c>
      <c r="F39" t="s">
        <v>36</v>
      </c>
      <c r="G39" t="s">
        <v>268</v>
      </c>
      <c r="H39" t="s">
        <v>269</v>
      </c>
      <c r="I39" t="s">
        <v>88</v>
      </c>
      <c r="J39" t="s">
        <v>88</v>
      </c>
      <c r="K39" t="s">
        <v>270</v>
      </c>
      <c r="L39" t="s">
        <v>146</v>
      </c>
      <c r="M39" t="s">
        <v>271</v>
      </c>
      <c r="N39" t="s">
        <v>272</v>
      </c>
      <c r="O39" s="2">
        <v>256</v>
      </c>
      <c r="P39">
        <v>1</v>
      </c>
      <c r="Q39" s="3">
        <v>0</v>
      </c>
      <c r="R39" s="2">
        <v>102.45</v>
      </c>
      <c r="S39" s="2">
        <v>19.7</v>
      </c>
      <c r="T39" t="s">
        <v>99</v>
      </c>
      <c r="U39">
        <v>2011</v>
      </c>
    </row>
    <row r="40" spans="1:21" x14ac:dyDescent="0.3">
      <c r="A40" t="s">
        <v>273</v>
      </c>
      <c r="B40" s="1">
        <v>41289</v>
      </c>
      <c r="C40" s="1">
        <v>41291</v>
      </c>
      <c r="D40" t="s">
        <v>84</v>
      </c>
      <c r="E40" t="s">
        <v>274</v>
      </c>
      <c r="F40" t="s">
        <v>36</v>
      </c>
      <c r="G40" t="s">
        <v>275</v>
      </c>
      <c r="H40" t="s">
        <v>48</v>
      </c>
      <c r="I40" t="s">
        <v>49</v>
      </c>
      <c r="J40" t="s">
        <v>40</v>
      </c>
      <c r="K40" t="s">
        <v>276</v>
      </c>
      <c r="L40" t="s">
        <v>59</v>
      </c>
      <c r="M40" t="s">
        <v>139</v>
      </c>
      <c r="N40" t="s">
        <v>277</v>
      </c>
      <c r="O40" s="2">
        <v>95</v>
      </c>
      <c r="P40">
        <v>5</v>
      </c>
      <c r="Q40" s="3">
        <v>0.6</v>
      </c>
      <c r="R40" s="2">
        <v>-113.85</v>
      </c>
      <c r="S40" s="2">
        <v>5.25</v>
      </c>
      <c r="T40" t="s">
        <v>33</v>
      </c>
      <c r="U40">
        <v>2013</v>
      </c>
    </row>
    <row r="41" spans="1:21" x14ac:dyDescent="0.3">
      <c r="A41" t="s">
        <v>278</v>
      </c>
      <c r="B41" s="1">
        <v>40565</v>
      </c>
      <c r="C41" s="1">
        <v>40569</v>
      </c>
      <c r="D41" t="s">
        <v>22</v>
      </c>
      <c r="E41" t="s">
        <v>279</v>
      </c>
      <c r="F41" t="s">
        <v>24</v>
      </c>
      <c r="G41" t="s">
        <v>280</v>
      </c>
      <c r="H41" t="s">
        <v>281</v>
      </c>
      <c r="I41" t="s">
        <v>39</v>
      </c>
      <c r="J41" t="s">
        <v>40</v>
      </c>
      <c r="K41" t="s">
        <v>282</v>
      </c>
      <c r="L41" t="s">
        <v>146</v>
      </c>
      <c r="M41" t="s">
        <v>271</v>
      </c>
      <c r="N41" t="s">
        <v>283</v>
      </c>
      <c r="O41" s="2">
        <v>109</v>
      </c>
      <c r="P41">
        <v>2</v>
      </c>
      <c r="Q41" s="3">
        <v>0</v>
      </c>
      <c r="R41" s="2">
        <v>27.2</v>
      </c>
      <c r="S41" s="2">
        <v>9</v>
      </c>
      <c r="T41" t="s">
        <v>33</v>
      </c>
      <c r="U41">
        <v>2011</v>
      </c>
    </row>
    <row r="42" spans="1:21" x14ac:dyDescent="0.3">
      <c r="A42" t="s">
        <v>284</v>
      </c>
      <c r="B42" s="1">
        <v>41670</v>
      </c>
      <c r="C42" s="1">
        <v>41674</v>
      </c>
      <c r="D42" t="s">
        <v>22</v>
      </c>
      <c r="E42" t="s">
        <v>285</v>
      </c>
      <c r="F42" t="s">
        <v>36</v>
      </c>
      <c r="G42" t="s">
        <v>286</v>
      </c>
      <c r="H42" t="s">
        <v>48</v>
      </c>
      <c r="I42" t="s">
        <v>49</v>
      </c>
      <c r="J42" t="s">
        <v>40</v>
      </c>
      <c r="K42" t="s">
        <v>287</v>
      </c>
      <c r="L42" t="s">
        <v>30</v>
      </c>
      <c r="M42" t="s">
        <v>31</v>
      </c>
      <c r="N42" t="s">
        <v>288</v>
      </c>
      <c r="O42" s="2">
        <v>23</v>
      </c>
      <c r="P42">
        <v>6</v>
      </c>
      <c r="Q42" s="3">
        <v>0</v>
      </c>
      <c r="R42" s="2">
        <v>2.16</v>
      </c>
      <c r="S42" s="2">
        <v>0.71</v>
      </c>
      <c r="T42" t="s">
        <v>33</v>
      </c>
      <c r="U42">
        <v>2014</v>
      </c>
    </row>
    <row r="43" spans="1:21" x14ac:dyDescent="0.3">
      <c r="A43" t="s">
        <v>289</v>
      </c>
      <c r="B43" s="1">
        <v>41852</v>
      </c>
      <c r="C43" s="1">
        <v>41855</v>
      </c>
      <c r="D43" t="s">
        <v>84</v>
      </c>
      <c r="E43" t="s">
        <v>290</v>
      </c>
      <c r="F43" t="s">
        <v>54</v>
      </c>
      <c r="G43" t="s">
        <v>134</v>
      </c>
      <c r="H43" t="s">
        <v>135</v>
      </c>
      <c r="I43" t="s">
        <v>136</v>
      </c>
      <c r="J43" t="s">
        <v>137</v>
      </c>
      <c r="K43" t="s">
        <v>291</v>
      </c>
      <c r="L43" t="s">
        <v>30</v>
      </c>
      <c r="M43" t="s">
        <v>66</v>
      </c>
      <c r="N43" t="s">
        <v>292</v>
      </c>
      <c r="O43" s="2">
        <v>57</v>
      </c>
      <c r="P43">
        <v>2</v>
      </c>
      <c r="Q43" s="3">
        <v>0</v>
      </c>
      <c r="R43" s="2">
        <v>15.2712</v>
      </c>
      <c r="S43" s="2">
        <v>6.74</v>
      </c>
      <c r="T43" t="s">
        <v>99</v>
      </c>
      <c r="U43">
        <v>2014</v>
      </c>
    </row>
    <row r="44" spans="1:21" x14ac:dyDescent="0.3">
      <c r="A44" t="s">
        <v>293</v>
      </c>
      <c r="B44" s="1">
        <v>41294</v>
      </c>
      <c r="C44" s="1">
        <v>41298</v>
      </c>
      <c r="D44" t="s">
        <v>45</v>
      </c>
      <c r="E44" t="s">
        <v>294</v>
      </c>
      <c r="F44" t="s">
        <v>36</v>
      </c>
      <c r="G44" t="s">
        <v>295</v>
      </c>
      <c r="H44" t="s">
        <v>296</v>
      </c>
      <c r="I44" t="s">
        <v>88</v>
      </c>
      <c r="J44" t="s">
        <v>88</v>
      </c>
      <c r="K44" t="s">
        <v>297</v>
      </c>
      <c r="L44" t="s">
        <v>59</v>
      </c>
      <c r="M44" t="s">
        <v>60</v>
      </c>
      <c r="N44" t="s">
        <v>298</v>
      </c>
      <c r="O44" s="2">
        <v>42</v>
      </c>
      <c r="P44">
        <v>1</v>
      </c>
      <c r="Q44" s="3">
        <v>0</v>
      </c>
      <c r="R44" s="2">
        <v>21.03</v>
      </c>
      <c r="S44" s="2">
        <v>3.34</v>
      </c>
      <c r="T44" t="s">
        <v>33</v>
      </c>
      <c r="U44">
        <v>2013</v>
      </c>
    </row>
    <row r="45" spans="1:21" x14ac:dyDescent="0.3">
      <c r="A45" t="s">
        <v>299</v>
      </c>
      <c r="B45" s="1">
        <v>40568</v>
      </c>
      <c r="C45" s="1">
        <v>40572</v>
      </c>
      <c r="D45" t="s">
        <v>22</v>
      </c>
      <c r="E45" t="s">
        <v>300</v>
      </c>
      <c r="F45" t="s">
        <v>54</v>
      </c>
      <c r="G45" t="s">
        <v>301</v>
      </c>
      <c r="H45" t="s">
        <v>56</v>
      </c>
      <c r="I45" t="s">
        <v>49</v>
      </c>
      <c r="J45" t="s">
        <v>57</v>
      </c>
      <c r="K45" t="s">
        <v>302</v>
      </c>
      <c r="L45" t="s">
        <v>30</v>
      </c>
      <c r="M45" t="s">
        <v>90</v>
      </c>
      <c r="N45" t="s">
        <v>303</v>
      </c>
      <c r="O45" s="2">
        <v>71</v>
      </c>
      <c r="P45">
        <v>5</v>
      </c>
      <c r="Q45" s="3">
        <v>0</v>
      </c>
      <c r="R45" s="2">
        <v>1.35</v>
      </c>
      <c r="S45" s="2">
        <v>6.64</v>
      </c>
      <c r="T45" t="s">
        <v>33</v>
      </c>
      <c r="U45">
        <v>2011</v>
      </c>
    </row>
    <row r="46" spans="1:21" x14ac:dyDescent="0.3">
      <c r="A46" t="s">
        <v>304</v>
      </c>
      <c r="B46" s="1">
        <v>40634</v>
      </c>
      <c r="C46" s="1">
        <v>40639</v>
      </c>
      <c r="D46" t="s">
        <v>45</v>
      </c>
      <c r="E46" t="s">
        <v>305</v>
      </c>
      <c r="F46" t="s">
        <v>54</v>
      </c>
      <c r="G46" t="s">
        <v>134</v>
      </c>
      <c r="H46" t="s">
        <v>135</v>
      </c>
      <c r="I46" t="s">
        <v>136</v>
      </c>
      <c r="J46" t="s">
        <v>137</v>
      </c>
      <c r="K46" t="s">
        <v>306</v>
      </c>
      <c r="L46" t="s">
        <v>30</v>
      </c>
      <c r="M46" t="s">
        <v>31</v>
      </c>
      <c r="N46" t="s">
        <v>307</v>
      </c>
      <c r="O46" s="2">
        <v>17</v>
      </c>
      <c r="P46">
        <v>4</v>
      </c>
      <c r="Q46" s="3">
        <v>0.2</v>
      </c>
      <c r="R46" s="2">
        <v>5.5536000000000003</v>
      </c>
      <c r="S46" s="2">
        <v>0.65</v>
      </c>
      <c r="T46" t="s">
        <v>33</v>
      </c>
      <c r="U46">
        <v>2011</v>
      </c>
    </row>
    <row r="47" spans="1:21" x14ac:dyDescent="0.3">
      <c r="A47" t="s">
        <v>308</v>
      </c>
      <c r="B47" s="1">
        <v>41663</v>
      </c>
      <c r="C47" s="1">
        <v>41667</v>
      </c>
      <c r="D47" t="s">
        <v>22</v>
      </c>
      <c r="E47" t="s">
        <v>309</v>
      </c>
      <c r="F47" t="s">
        <v>36</v>
      </c>
      <c r="G47" t="s">
        <v>310</v>
      </c>
      <c r="H47" t="s">
        <v>135</v>
      </c>
      <c r="I47" t="s">
        <v>136</v>
      </c>
      <c r="J47" t="s">
        <v>137</v>
      </c>
      <c r="K47" t="s">
        <v>311</v>
      </c>
      <c r="L47" t="s">
        <v>30</v>
      </c>
      <c r="M47" t="s">
        <v>31</v>
      </c>
      <c r="N47" t="s">
        <v>312</v>
      </c>
      <c r="O47" s="2">
        <v>5</v>
      </c>
      <c r="P47">
        <v>2</v>
      </c>
      <c r="Q47" s="3">
        <v>0.7</v>
      </c>
      <c r="R47" s="2">
        <v>-3.6212</v>
      </c>
      <c r="S47" s="2">
        <v>0.76</v>
      </c>
      <c r="T47" t="s">
        <v>99</v>
      </c>
      <c r="U47">
        <v>2014</v>
      </c>
    </row>
    <row r="48" spans="1:21" x14ac:dyDescent="0.3">
      <c r="A48" t="s">
        <v>313</v>
      </c>
      <c r="B48" s="1">
        <v>40565</v>
      </c>
      <c r="C48" s="1">
        <v>40566</v>
      </c>
      <c r="D48" t="s">
        <v>84</v>
      </c>
      <c r="E48" t="s">
        <v>314</v>
      </c>
      <c r="F48" t="s">
        <v>54</v>
      </c>
      <c r="G48" t="s">
        <v>315</v>
      </c>
      <c r="H48" t="s">
        <v>316</v>
      </c>
      <c r="I48" t="s">
        <v>27</v>
      </c>
      <c r="J48" t="s">
        <v>212</v>
      </c>
      <c r="K48" t="s">
        <v>317</v>
      </c>
      <c r="L48" t="s">
        <v>30</v>
      </c>
      <c r="M48" t="s">
        <v>90</v>
      </c>
      <c r="N48" t="s">
        <v>318</v>
      </c>
      <c r="O48" s="2">
        <v>60</v>
      </c>
      <c r="P48">
        <v>6</v>
      </c>
      <c r="Q48" s="3">
        <v>0.4</v>
      </c>
      <c r="R48" s="2">
        <v>-33.875999999999998</v>
      </c>
      <c r="S48" s="2">
        <v>27.43</v>
      </c>
      <c r="T48" t="s">
        <v>68</v>
      </c>
      <c r="U48">
        <v>2011</v>
      </c>
    </row>
    <row r="49" spans="1:21" x14ac:dyDescent="0.3">
      <c r="A49" t="s">
        <v>319</v>
      </c>
      <c r="B49" s="1">
        <v>40931</v>
      </c>
      <c r="C49" s="1">
        <v>40933</v>
      </c>
      <c r="D49" t="s">
        <v>45</v>
      </c>
      <c r="E49" t="s">
        <v>320</v>
      </c>
      <c r="F49" t="s">
        <v>54</v>
      </c>
      <c r="G49" t="s">
        <v>321</v>
      </c>
      <c r="H49" t="s">
        <v>322</v>
      </c>
      <c r="I49" t="s">
        <v>88</v>
      </c>
      <c r="J49" t="s">
        <v>88</v>
      </c>
      <c r="K49" t="s">
        <v>323</v>
      </c>
      <c r="L49" t="s">
        <v>146</v>
      </c>
      <c r="M49" t="s">
        <v>147</v>
      </c>
      <c r="N49" t="s">
        <v>324</v>
      </c>
      <c r="O49" s="2">
        <v>279</v>
      </c>
      <c r="P49">
        <v>2</v>
      </c>
      <c r="Q49" s="3">
        <v>0</v>
      </c>
      <c r="R49" s="2">
        <v>114.3</v>
      </c>
      <c r="S49" s="2">
        <v>38.86</v>
      </c>
      <c r="T49" t="s">
        <v>99</v>
      </c>
      <c r="U49">
        <v>2012</v>
      </c>
    </row>
    <row r="50" spans="1:21" x14ac:dyDescent="0.3">
      <c r="A50" t="s">
        <v>325</v>
      </c>
      <c r="B50" s="1">
        <v>40931</v>
      </c>
      <c r="C50" s="1">
        <v>40935</v>
      </c>
      <c r="D50" t="s">
        <v>22</v>
      </c>
      <c r="E50" t="s">
        <v>326</v>
      </c>
      <c r="F50" t="s">
        <v>24</v>
      </c>
      <c r="G50" t="s">
        <v>327</v>
      </c>
      <c r="H50" t="s">
        <v>224</v>
      </c>
      <c r="I50" t="s">
        <v>49</v>
      </c>
      <c r="J50" t="s">
        <v>40</v>
      </c>
      <c r="K50" t="s">
        <v>328</v>
      </c>
      <c r="L50" t="s">
        <v>59</v>
      </c>
      <c r="M50" t="s">
        <v>329</v>
      </c>
      <c r="N50" t="s">
        <v>330</v>
      </c>
      <c r="O50" s="2">
        <v>1451</v>
      </c>
      <c r="P50">
        <v>8</v>
      </c>
      <c r="Q50" s="3">
        <v>0.6</v>
      </c>
      <c r="R50" s="2">
        <v>-362.78399999999999</v>
      </c>
      <c r="S50" s="2">
        <v>138.34</v>
      </c>
      <c r="T50" t="s">
        <v>33</v>
      </c>
      <c r="U50">
        <v>2012</v>
      </c>
    </row>
    <row r="51" spans="1:21" x14ac:dyDescent="0.3">
      <c r="A51" t="s">
        <v>331</v>
      </c>
      <c r="B51" s="1">
        <v>41303</v>
      </c>
      <c r="C51" s="1">
        <v>41307</v>
      </c>
      <c r="D51" t="s">
        <v>22</v>
      </c>
      <c r="E51" t="s">
        <v>285</v>
      </c>
      <c r="F51" t="s">
        <v>36</v>
      </c>
      <c r="G51" t="s">
        <v>332</v>
      </c>
      <c r="H51" t="s">
        <v>152</v>
      </c>
      <c r="I51" t="s">
        <v>27</v>
      </c>
      <c r="J51" t="s">
        <v>153</v>
      </c>
      <c r="K51" t="s">
        <v>333</v>
      </c>
      <c r="L51" t="s">
        <v>30</v>
      </c>
      <c r="M51" t="s">
        <v>105</v>
      </c>
      <c r="N51" t="s">
        <v>334</v>
      </c>
      <c r="O51" s="2">
        <v>27</v>
      </c>
      <c r="P51">
        <v>2</v>
      </c>
      <c r="Q51" s="3">
        <v>0</v>
      </c>
      <c r="R51" s="2">
        <v>5.52</v>
      </c>
      <c r="S51" s="2">
        <v>3.97</v>
      </c>
      <c r="T51" t="s">
        <v>99</v>
      </c>
      <c r="U51">
        <v>2013</v>
      </c>
    </row>
    <row r="52" spans="1:21" x14ac:dyDescent="0.3">
      <c r="A52" t="s">
        <v>335</v>
      </c>
      <c r="B52" s="1">
        <v>41670</v>
      </c>
      <c r="C52" s="1">
        <v>41675</v>
      </c>
      <c r="D52" t="s">
        <v>22</v>
      </c>
      <c r="E52" t="s">
        <v>336</v>
      </c>
      <c r="F52" t="s">
        <v>24</v>
      </c>
      <c r="G52" t="s">
        <v>337</v>
      </c>
      <c r="H52" t="s">
        <v>316</v>
      </c>
      <c r="I52" t="s">
        <v>27</v>
      </c>
      <c r="J52" t="s">
        <v>212</v>
      </c>
      <c r="K52" t="s">
        <v>338</v>
      </c>
      <c r="L52" t="s">
        <v>59</v>
      </c>
      <c r="M52" t="s">
        <v>339</v>
      </c>
      <c r="N52" t="s">
        <v>340</v>
      </c>
      <c r="O52" s="2">
        <v>655</v>
      </c>
      <c r="P52">
        <v>2</v>
      </c>
      <c r="Q52" s="3">
        <v>0.1</v>
      </c>
      <c r="R52" s="2">
        <v>-14.555999999999999</v>
      </c>
      <c r="S52" s="2">
        <v>30.47</v>
      </c>
      <c r="T52" t="s">
        <v>33</v>
      </c>
      <c r="U52">
        <v>2014</v>
      </c>
    </row>
    <row r="53" spans="1:21" x14ac:dyDescent="0.3">
      <c r="A53" t="s">
        <v>341</v>
      </c>
      <c r="B53" s="1">
        <v>40603</v>
      </c>
      <c r="C53" s="1">
        <v>40607</v>
      </c>
      <c r="D53" t="s">
        <v>22</v>
      </c>
      <c r="E53" t="s">
        <v>342</v>
      </c>
      <c r="F53" t="s">
        <v>36</v>
      </c>
      <c r="G53" t="s">
        <v>158</v>
      </c>
      <c r="H53" t="s">
        <v>135</v>
      </c>
      <c r="I53" t="s">
        <v>136</v>
      </c>
      <c r="J53" t="s">
        <v>57</v>
      </c>
      <c r="K53" t="s">
        <v>138</v>
      </c>
      <c r="L53" t="s">
        <v>59</v>
      </c>
      <c r="M53" t="s">
        <v>139</v>
      </c>
      <c r="N53" t="s">
        <v>140</v>
      </c>
      <c r="O53" s="2">
        <v>634</v>
      </c>
      <c r="P53">
        <v>6</v>
      </c>
      <c r="Q53" s="3">
        <v>0.3</v>
      </c>
      <c r="R53" s="2">
        <v>-172.1172</v>
      </c>
      <c r="S53" s="2">
        <v>70.05</v>
      </c>
      <c r="T53" t="s">
        <v>99</v>
      </c>
      <c r="U53">
        <v>2011</v>
      </c>
    </row>
    <row r="54" spans="1:21" x14ac:dyDescent="0.3">
      <c r="A54" t="s">
        <v>343</v>
      </c>
      <c r="B54" s="1">
        <v>41487</v>
      </c>
      <c r="C54" s="1">
        <v>41490</v>
      </c>
      <c r="D54" t="s">
        <v>84</v>
      </c>
      <c r="E54" t="s">
        <v>344</v>
      </c>
      <c r="F54" t="s">
        <v>24</v>
      </c>
      <c r="G54" t="s">
        <v>345</v>
      </c>
      <c r="H54" t="s">
        <v>38</v>
      </c>
      <c r="I54" t="s">
        <v>39</v>
      </c>
      <c r="J54" t="s">
        <v>40</v>
      </c>
      <c r="K54" t="s">
        <v>346</v>
      </c>
      <c r="L54" t="s">
        <v>146</v>
      </c>
      <c r="M54" t="s">
        <v>347</v>
      </c>
      <c r="N54" t="s">
        <v>348</v>
      </c>
      <c r="O54" s="2">
        <v>351</v>
      </c>
      <c r="P54">
        <v>2</v>
      </c>
      <c r="Q54" s="3">
        <v>2E-3</v>
      </c>
      <c r="R54" s="2">
        <v>20.37688</v>
      </c>
      <c r="S54" s="2">
        <v>43.03</v>
      </c>
      <c r="T54" t="s">
        <v>99</v>
      </c>
      <c r="U54">
        <v>2013</v>
      </c>
    </row>
    <row r="55" spans="1:21" x14ac:dyDescent="0.3">
      <c r="A55" t="s">
        <v>349</v>
      </c>
      <c r="B55" s="1">
        <v>41291</v>
      </c>
      <c r="C55" s="1">
        <v>41297</v>
      </c>
      <c r="D55" t="s">
        <v>22</v>
      </c>
      <c r="E55" t="s">
        <v>350</v>
      </c>
      <c r="F55" t="s">
        <v>54</v>
      </c>
      <c r="G55" t="s">
        <v>351</v>
      </c>
      <c r="H55" t="s">
        <v>56</v>
      </c>
      <c r="I55" t="s">
        <v>49</v>
      </c>
      <c r="J55" t="s">
        <v>57</v>
      </c>
      <c r="K55" t="s">
        <v>352</v>
      </c>
      <c r="L55" t="s">
        <v>30</v>
      </c>
      <c r="M55" t="s">
        <v>66</v>
      </c>
      <c r="N55" t="s">
        <v>353</v>
      </c>
      <c r="O55" s="2">
        <v>37</v>
      </c>
      <c r="P55">
        <v>3</v>
      </c>
      <c r="Q55" s="3">
        <v>0.6</v>
      </c>
      <c r="R55" s="2">
        <v>-53.442</v>
      </c>
      <c r="S55" s="2">
        <v>2.41</v>
      </c>
      <c r="T55" t="s">
        <v>33</v>
      </c>
      <c r="U55">
        <v>2013</v>
      </c>
    </row>
    <row r="56" spans="1:21" x14ac:dyDescent="0.3">
      <c r="A56" t="s">
        <v>354</v>
      </c>
      <c r="B56" s="1">
        <v>41760</v>
      </c>
      <c r="C56" s="1">
        <v>41767</v>
      </c>
      <c r="D56" t="s">
        <v>22</v>
      </c>
      <c r="E56" t="s">
        <v>355</v>
      </c>
      <c r="F56" t="s">
        <v>54</v>
      </c>
      <c r="G56" t="s">
        <v>356</v>
      </c>
      <c r="H56" t="s">
        <v>205</v>
      </c>
      <c r="I56" t="s">
        <v>49</v>
      </c>
      <c r="J56" t="s">
        <v>57</v>
      </c>
      <c r="K56" t="s">
        <v>357</v>
      </c>
      <c r="L56" t="s">
        <v>59</v>
      </c>
      <c r="M56" t="s">
        <v>139</v>
      </c>
      <c r="N56" t="s">
        <v>358</v>
      </c>
      <c r="O56" s="2">
        <v>292</v>
      </c>
      <c r="P56">
        <v>2</v>
      </c>
      <c r="Q56" s="3">
        <v>0.1</v>
      </c>
      <c r="R56" s="2">
        <v>-22.686</v>
      </c>
      <c r="S56" s="2">
        <v>35.340000000000003</v>
      </c>
      <c r="T56" t="s">
        <v>77</v>
      </c>
      <c r="U56">
        <v>2014</v>
      </c>
    </row>
    <row r="57" spans="1:21" x14ac:dyDescent="0.3">
      <c r="A57" t="s">
        <v>359</v>
      </c>
      <c r="B57" s="1">
        <v>41153</v>
      </c>
      <c r="C57" s="1">
        <v>41156</v>
      </c>
      <c r="D57" t="s">
        <v>45</v>
      </c>
      <c r="E57" t="s">
        <v>360</v>
      </c>
      <c r="F57" t="s">
        <v>54</v>
      </c>
      <c r="G57" t="s">
        <v>134</v>
      </c>
      <c r="H57" t="s">
        <v>135</v>
      </c>
      <c r="I57" t="s">
        <v>136</v>
      </c>
      <c r="J57" t="s">
        <v>137</v>
      </c>
      <c r="K57" t="s">
        <v>361</v>
      </c>
      <c r="L57" t="s">
        <v>30</v>
      </c>
      <c r="M57" t="s">
        <v>31</v>
      </c>
      <c r="N57" t="s">
        <v>362</v>
      </c>
      <c r="O57" s="2">
        <v>14</v>
      </c>
      <c r="P57">
        <v>4</v>
      </c>
      <c r="Q57" s="3">
        <v>0.2</v>
      </c>
      <c r="R57" s="2">
        <v>4.49</v>
      </c>
      <c r="S57" s="2">
        <v>3.78</v>
      </c>
      <c r="T57" t="s">
        <v>68</v>
      </c>
      <c r="U57">
        <v>2012</v>
      </c>
    </row>
    <row r="58" spans="1:21" x14ac:dyDescent="0.3">
      <c r="A58" t="s">
        <v>363</v>
      </c>
      <c r="B58" s="1">
        <v>41303</v>
      </c>
      <c r="C58" s="1">
        <v>41308</v>
      </c>
      <c r="D58" t="s">
        <v>22</v>
      </c>
      <c r="E58" t="s">
        <v>364</v>
      </c>
      <c r="F58" t="s">
        <v>36</v>
      </c>
      <c r="G58" t="s">
        <v>127</v>
      </c>
      <c r="H58" t="s">
        <v>128</v>
      </c>
      <c r="I58" t="s">
        <v>49</v>
      </c>
      <c r="J58" t="s">
        <v>129</v>
      </c>
      <c r="K58" t="s">
        <v>365</v>
      </c>
      <c r="L58" t="s">
        <v>30</v>
      </c>
      <c r="M58" t="s">
        <v>31</v>
      </c>
      <c r="N58" t="s">
        <v>366</v>
      </c>
      <c r="O58" s="2">
        <v>21</v>
      </c>
      <c r="P58">
        <v>3</v>
      </c>
      <c r="Q58" s="3">
        <v>0</v>
      </c>
      <c r="R58" s="2">
        <v>10.26</v>
      </c>
      <c r="S58" s="2">
        <v>0.94</v>
      </c>
      <c r="T58" t="s">
        <v>33</v>
      </c>
      <c r="U58">
        <v>2013</v>
      </c>
    </row>
    <row r="59" spans="1:21" x14ac:dyDescent="0.3">
      <c r="A59" t="s">
        <v>367</v>
      </c>
      <c r="B59" s="1">
        <v>41669</v>
      </c>
      <c r="C59" s="1">
        <v>41673</v>
      </c>
      <c r="D59" t="s">
        <v>22</v>
      </c>
      <c r="E59" t="s">
        <v>368</v>
      </c>
      <c r="F59" t="s">
        <v>54</v>
      </c>
      <c r="G59" t="s">
        <v>134</v>
      </c>
      <c r="H59" t="s">
        <v>135</v>
      </c>
      <c r="I59" t="s">
        <v>136</v>
      </c>
      <c r="J59" t="s">
        <v>137</v>
      </c>
      <c r="K59" t="s">
        <v>369</v>
      </c>
      <c r="L59" t="s">
        <v>30</v>
      </c>
      <c r="M59" t="s">
        <v>370</v>
      </c>
      <c r="N59" t="s">
        <v>371</v>
      </c>
      <c r="O59" s="2">
        <v>9</v>
      </c>
      <c r="P59">
        <v>1</v>
      </c>
      <c r="Q59" s="3">
        <v>0</v>
      </c>
      <c r="R59" s="2">
        <v>2.2282000000000002</v>
      </c>
      <c r="S59" s="2">
        <v>0.19</v>
      </c>
      <c r="T59" t="s">
        <v>99</v>
      </c>
      <c r="U59">
        <v>2014</v>
      </c>
    </row>
    <row r="60" spans="1:21" x14ac:dyDescent="0.3">
      <c r="A60" t="s">
        <v>372</v>
      </c>
      <c r="B60" s="1">
        <v>41304</v>
      </c>
      <c r="C60" s="1">
        <v>41310</v>
      </c>
      <c r="D60" t="s">
        <v>22</v>
      </c>
      <c r="E60" t="s">
        <v>373</v>
      </c>
      <c r="F60" t="s">
        <v>54</v>
      </c>
      <c r="G60" t="s">
        <v>374</v>
      </c>
      <c r="H60" t="s">
        <v>316</v>
      </c>
      <c r="I60" t="s">
        <v>27</v>
      </c>
      <c r="J60" t="s">
        <v>212</v>
      </c>
      <c r="K60" t="s">
        <v>375</v>
      </c>
      <c r="L60" t="s">
        <v>30</v>
      </c>
      <c r="M60" t="s">
        <v>105</v>
      </c>
      <c r="N60" t="s">
        <v>376</v>
      </c>
      <c r="O60" s="2">
        <v>138</v>
      </c>
      <c r="P60">
        <v>3</v>
      </c>
      <c r="Q60" s="3">
        <v>0.1</v>
      </c>
      <c r="R60" s="2">
        <v>58.338000000000001</v>
      </c>
      <c r="S60" s="2">
        <v>6.82</v>
      </c>
      <c r="T60" t="s">
        <v>33</v>
      </c>
      <c r="U60">
        <v>2013</v>
      </c>
    </row>
    <row r="61" spans="1:21" x14ac:dyDescent="0.3">
      <c r="A61" t="s">
        <v>377</v>
      </c>
      <c r="B61" s="1">
        <v>40569</v>
      </c>
      <c r="C61" s="1">
        <v>40574</v>
      </c>
      <c r="D61" t="s">
        <v>22</v>
      </c>
      <c r="E61" t="s">
        <v>378</v>
      </c>
      <c r="F61" t="s">
        <v>54</v>
      </c>
      <c r="G61" t="s">
        <v>379</v>
      </c>
      <c r="H61" t="s">
        <v>87</v>
      </c>
      <c r="I61" t="s">
        <v>88</v>
      </c>
      <c r="J61" t="s">
        <v>88</v>
      </c>
      <c r="K61" t="s">
        <v>380</v>
      </c>
      <c r="L61" t="s">
        <v>30</v>
      </c>
      <c r="M61" t="s">
        <v>105</v>
      </c>
      <c r="N61" t="s">
        <v>381</v>
      </c>
      <c r="O61" s="2">
        <v>16</v>
      </c>
      <c r="P61">
        <v>2</v>
      </c>
      <c r="Q61" s="3">
        <v>0.6</v>
      </c>
      <c r="R61" s="2">
        <v>-5.7240000000000002</v>
      </c>
      <c r="S61" s="2">
        <v>1.28</v>
      </c>
      <c r="T61" t="s">
        <v>33</v>
      </c>
      <c r="U61">
        <v>2011</v>
      </c>
    </row>
    <row r="62" spans="1:21" x14ac:dyDescent="0.3">
      <c r="A62" t="s">
        <v>382</v>
      </c>
      <c r="B62" s="1">
        <v>41661</v>
      </c>
      <c r="C62" s="1">
        <v>41661</v>
      </c>
      <c r="D62" t="s">
        <v>232</v>
      </c>
      <c r="E62" t="s">
        <v>383</v>
      </c>
      <c r="F62" t="s">
        <v>54</v>
      </c>
      <c r="G62" t="s">
        <v>384</v>
      </c>
      <c r="H62" t="s">
        <v>26</v>
      </c>
      <c r="I62" t="s">
        <v>27</v>
      </c>
      <c r="J62" t="s">
        <v>28</v>
      </c>
      <c r="K62" t="s">
        <v>385</v>
      </c>
      <c r="L62" t="s">
        <v>146</v>
      </c>
      <c r="M62" t="s">
        <v>347</v>
      </c>
      <c r="N62" t="s">
        <v>386</v>
      </c>
      <c r="O62" s="2">
        <v>113</v>
      </c>
      <c r="P62">
        <v>1</v>
      </c>
      <c r="Q62" s="3">
        <v>7.0000000000000007E-2</v>
      </c>
      <c r="R62" s="2">
        <v>37.639200000000002</v>
      </c>
      <c r="S62" s="2">
        <v>25.04</v>
      </c>
      <c r="T62" t="s">
        <v>99</v>
      </c>
      <c r="U62">
        <v>2014</v>
      </c>
    </row>
    <row r="63" spans="1:21" x14ac:dyDescent="0.3">
      <c r="A63" t="s">
        <v>387</v>
      </c>
      <c r="B63" s="1">
        <v>40878</v>
      </c>
      <c r="C63" s="1">
        <v>40882</v>
      </c>
      <c r="D63" t="s">
        <v>22</v>
      </c>
      <c r="E63" t="s">
        <v>388</v>
      </c>
      <c r="F63" t="s">
        <v>54</v>
      </c>
      <c r="G63" t="s">
        <v>389</v>
      </c>
      <c r="H63" t="s">
        <v>390</v>
      </c>
      <c r="I63" t="s">
        <v>39</v>
      </c>
      <c r="J63" t="s">
        <v>57</v>
      </c>
      <c r="K63" t="s">
        <v>391</v>
      </c>
      <c r="L63" t="s">
        <v>30</v>
      </c>
      <c r="M63" t="s">
        <v>105</v>
      </c>
      <c r="N63" t="s">
        <v>392</v>
      </c>
      <c r="O63" s="2">
        <v>27</v>
      </c>
      <c r="P63">
        <v>2</v>
      </c>
      <c r="Q63" s="3">
        <v>0</v>
      </c>
      <c r="R63" s="2">
        <v>8.44</v>
      </c>
      <c r="S63" s="2">
        <v>1.97</v>
      </c>
      <c r="T63" t="s">
        <v>33</v>
      </c>
      <c r="U63">
        <v>2011</v>
      </c>
    </row>
    <row r="64" spans="1:21" x14ac:dyDescent="0.3">
      <c r="A64" t="s">
        <v>393</v>
      </c>
      <c r="B64" s="1">
        <v>41365</v>
      </c>
      <c r="C64" s="1">
        <v>41371</v>
      </c>
      <c r="D64" t="s">
        <v>22</v>
      </c>
      <c r="E64" t="s">
        <v>394</v>
      </c>
      <c r="F64" t="s">
        <v>54</v>
      </c>
      <c r="G64" t="s">
        <v>395</v>
      </c>
      <c r="H64" t="s">
        <v>135</v>
      </c>
      <c r="I64" t="s">
        <v>136</v>
      </c>
      <c r="J64" t="s">
        <v>396</v>
      </c>
      <c r="K64" t="s">
        <v>397</v>
      </c>
      <c r="L64" t="s">
        <v>59</v>
      </c>
      <c r="M64" t="s">
        <v>139</v>
      </c>
      <c r="N64" t="s">
        <v>398</v>
      </c>
      <c r="O64" s="2">
        <v>328</v>
      </c>
      <c r="P64">
        <v>6</v>
      </c>
      <c r="Q64" s="3">
        <v>0.1</v>
      </c>
      <c r="R64" s="2">
        <v>54.665999999999997</v>
      </c>
      <c r="S64" s="2">
        <v>19.489999999999998</v>
      </c>
      <c r="T64" t="s">
        <v>33</v>
      </c>
      <c r="U64">
        <v>2013</v>
      </c>
    </row>
    <row r="65" spans="1:21" x14ac:dyDescent="0.3">
      <c r="A65" t="s">
        <v>399</v>
      </c>
      <c r="B65" s="1">
        <v>41944</v>
      </c>
      <c r="C65" s="1">
        <v>41949</v>
      </c>
      <c r="D65" t="s">
        <v>22</v>
      </c>
      <c r="E65" t="s">
        <v>400</v>
      </c>
      <c r="F65" t="s">
        <v>54</v>
      </c>
      <c r="G65" t="s">
        <v>401</v>
      </c>
      <c r="H65" t="s">
        <v>402</v>
      </c>
      <c r="I65" t="s">
        <v>39</v>
      </c>
      <c r="J65" t="s">
        <v>236</v>
      </c>
      <c r="K65" t="s">
        <v>403</v>
      </c>
      <c r="L65" t="s">
        <v>30</v>
      </c>
      <c r="M65" t="s">
        <v>42</v>
      </c>
      <c r="N65" t="s">
        <v>404</v>
      </c>
      <c r="O65" s="2">
        <v>278</v>
      </c>
      <c r="P65">
        <v>5</v>
      </c>
      <c r="Q65" s="3">
        <v>0</v>
      </c>
      <c r="R65" s="2">
        <v>116.8</v>
      </c>
      <c r="S65" s="2">
        <v>28.1</v>
      </c>
      <c r="T65" t="s">
        <v>33</v>
      </c>
      <c r="U65">
        <v>2014</v>
      </c>
    </row>
    <row r="66" spans="1:21" x14ac:dyDescent="0.3">
      <c r="A66" t="s">
        <v>405</v>
      </c>
      <c r="B66" s="1">
        <v>40817</v>
      </c>
      <c r="C66" s="1">
        <v>40821</v>
      </c>
      <c r="D66" t="s">
        <v>22</v>
      </c>
      <c r="E66" t="s">
        <v>406</v>
      </c>
      <c r="F66" t="s">
        <v>24</v>
      </c>
      <c r="G66" t="s">
        <v>407</v>
      </c>
      <c r="H66" t="s">
        <v>408</v>
      </c>
      <c r="I66" t="s">
        <v>39</v>
      </c>
      <c r="J66" t="s">
        <v>40</v>
      </c>
      <c r="K66" t="s">
        <v>409</v>
      </c>
      <c r="L66" t="s">
        <v>30</v>
      </c>
      <c r="M66" t="s">
        <v>410</v>
      </c>
      <c r="N66" t="s">
        <v>411</v>
      </c>
      <c r="O66" s="2">
        <v>52</v>
      </c>
      <c r="P66">
        <v>7</v>
      </c>
      <c r="Q66" s="3">
        <v>0.4</v>
      </c>
      <c r="R66" s="2">
        <v>-34.048000000000002</v>
      </c>
      <c r="S66" s="2">
        <v>3.74</v>
      </c>
      <c r="T66" t="s">
        <v>33</v>
      </c>
      <c r="U66">
        <v>2011</v>
      </c>
    </row>
    <row r="67" spans="1:21" x14ac:dyDescent="0.3">
      <c r="A67" t="s">
        <v>412</v>
      </c>
      <c r="B67" s="1">
        <v>41660</v>
      </c>
      <c r="C67" s="1">
        <v>41664</v>
      </c>
      <c r="D67" t="s">
        <v>22</v>
      </c>
      <c r="E67" t="s">
        <v>413</v>
      </c>
      <c r="F67" t="s">
        <v>54</v>
      </c>
      <c r="G67" t="s">
        <v>414</v>
      </c>
      <c r="H67" t="s">
        <v>414</v>
      </c>
      <c r="I67" t="s">
        <v>39</v>
      </c>
      <c r="J67" t="s">
        <v>57</v>
      </c>
      <c r="K67" t="s">
        <v>415</v>
      </c>
      <c r="L67" t="s">
        <v>146</v>
      </c>
      <c r="M67" t="s">
        <v>347</v>
      </c>
      <c r="N67" t="s">
        <v>416</v>
      </c>
      <c r="O67" s="2">
        <v>383</v>
      </c>
      <c r="P67">
        <v>3</v>
      </c>
      <c r="Q67" s="3">
        <v>0.40200000000000002</v>
      </c>
      <c r="R67" s="2">
        <v>-257.14332000000002</v>
      </c>
      <c r="S67" s="2">
        <v>9.84</v>
      </c>
      <c r="T67" t="s">
        <v>33</v>
      </c>
      <c r="U67">
        <v>2014</v>
      </c>
    </row>
    <row r="68" spans="1:21" x14ac:dyDescent="0.3">
      <c r="A68" t="s">
        <v>417</v>
      </c>
      <c r="B68" s="1">
        <v>40932</v>
      </c>
      <c r="C68" s="1">
        <v>40938</v>
      </c>
      <c r="D68" t="s">
        <v>22</v>
      </c>
      <c r="E68" t="s">
        <v>418</v>
      </c>
      <c r="F68" t="s">
        <v>54</v>
      </c>
      <c r="G68" t="s">
        <v>419</v>
      </c>
      <c r="H68" t="s">
        <v>72</v>
      </c>
      <c r="I68" t="s">
        <v>27</v>
      </c>
      <c r="J68" t="s">
        <v>73</v>
      </c>
      <c r="K68" t="s">
        <v>420</v>
      </c>
      <c r="L68" t="s">
        <v>30</v>
      </c>
      <c r="M68" t="s">
        <v>90</v>
      </c>
      <c r="N68" t="s">
        <v>421</v>
      </c>
      <c r="O68" s="2">
        <v>31</v>
      </c>
      <c r="P68">
        <v>2</v>
      </c>
      <c r="Q68" s="3">
        <v>0</v>
      </c>
      <c r="R68" s="2">
        <v>9</v>
      </c>
      <c r="S68" s="2">
        <v>1.83</v>
      </c>
      <c r="T68" t="s">
        <v>33</v>
      </c>
      <c r="U68">
        <v>2012</v>
      </c>
    </row>
    <row r="69" spans="1:21" x14ac:dyDescent="0.3">
      <c r="A69" t="s">
        <v>422</v>
      </c>
      <c r="B69" s="1">
        <v>41579</v>
      </c>
      <c r="C69" s="1">
        <v>41583</v>
      </c>
      <c r="D69" t="s">
        <v>22</v>
      </c>
      <c r="E69" t="s">
        <v>423</v>
      </c>
      <c r="F69" t="s">
        <v>54</v>
      </c>
      <c r="G69" t="s">
        <v>315</v>
      </c>
      <c r="H69" t="s">
        <v>316</v>
      </c>
      <c r="I69" t="s">
        <v>27</v>
      </c>
      <c r="J69" t="s">
        <v>212</v>
      </c>
      <c r="K69" t="s">
        <v>424</v>
      </c>
      <c r="L69" t="s">
        <v>146</v>
      </c>
      <c r="M69" t="s">
        <v>147</v>
      </c>
      <c r="N69" t="s">
        <v>425</v>
      </c>
      <c r="O69" s="2">
        <v>888</v>
      </c>
      <c r="P69">
        <v>8</v>
      </c>
      <c r="Q69" s="3">
        <v>0.1</v>
      </c>
      <c r="R69" s="2">
        <v>246.45599999999999</v>
      </c>
      <c r="S69" s="2">
        <v>94.65</v>
      </c>
      <c r="T69" t="s">
        <v>33</v>
      </c>
      <c r="U69">
        <v>2013</v>
      </c>
    </row>
    <row r="70" spans="1:21" x14ac:dyDescent="0.3">
      <c r="A70" t="s">
        <v>426</v>
      </c>
      <c r="B70" s="1">
        <v>41791</v>
      </c>
      <c r="C70" s="1">
        <v>41793</v>
      </c>
      <c r="D70" t="s">
        <v>45</v>
      </c>
      <c r="E70" t="s">
        <v>427</v>
      </c>
      <c r="F70" t="s">
        <v>36</v>
      </c>
      <c r="G70" t="s">
        <v>428</v>
      </c>
      <c r="H70" t="s">
        <v>429</v>
      </c>
      <c r="I70" t="s">
        <v>117</v>
      </c>
      <c r="J70" t="s">
        <v>117</v>
      </c>
      <c r="K70" t="s">
        <v>430</v>
      </c>
      <c r="L70" t="s">
        <v>30</v>
      </c>
      <c r="M70" t="s">
        <v>66</v>
      </c>
      <c r="N70" t="s">
        <v>431</v>
      </c>
      <c r="O70" s="2">
        <v>415</v>
      </c>
      <c r="P70">
        <v>2</v>
      </c>
      <c r="Q70" s="3">
        <v>0</v>
      </c>
      <c r="R70" s="2">
        <v>107.76</v>
      </c>
      <c r="S70" s="2">
        <v>105.5</v>
      </c>
      <c r="T70" t="s">
        <v>99</v>
      </c>
      <c r="U70">
        <v>2014</v>
      </c>
    </row>
    <row r="71" spans="1:21" x14ac:dyDescent="0.3">
      <c r="A71" t="s">
        <v>432</v>
      </c>
      <c r="B71" s="1">
        <v>41290</v>
      </c>
      <c r="C71" s="1">
        <v>41296</v>
      </c>
      <c r="D71" t="s">
        <v>22</v>
      </c>
      <c r="E71" t="s">
        <v>433</v>
      </c>
      <c r="F71" t="s">
        <v>24</v>
      </c>
      <c r="G71" t="s">
        <v>434</v>
      </c>
      <c r="H71" t="s">
        <v>435</v>
      </c>
      <c r="I71" t="s">
        <v>117</v>
      </c>
      <c r="J71" t="s">
        <v>117</v>
      </c>
      <c r="K71" t="s">
        <v>436</v>
      </c>
      <c r="L71" t="s">
        <v>59</v>
      </c>
      <c r="M71" t="s">
        <v>329</v>
      </c>
      <c r="N71" t="s">
        <v>437</v>
      </c>
      <c r="O71" s="2">
        <v>635</v>
      </c>
      <c r="P71">
        <v>2</v>
      </c>
      <c r="Q71" s="3">
        <v>0</v>
      </c>
      <c r="R71" s="2">
        <v>215.76</v>
      </c>
      <c r="S71" s="2">
        <v>64.349999999999994</v>
      </c>
      <c r="T71" t="s">
        <v>33</v>
      </c>
      <c r="U71">
        <v>2013</v>
      </c>
    </row>
    <row r="72" spans="1:21" x14ac:dyDescent="0.3">
      <c r="A72" t="s">
        <v>438</v>
      </c>
      <c r="B72" s="1">
        <v>41667</v>
      </c>
      <c r="C72" s="1">
        <v>41674</v>
      </c>
      <c r="D72" t="s">
        <v>22</v>
      </c>
      <c r="E72" t="s">
        <v>439</v>
      </c>
      <c r="F72" t="s">
        <v>54</v>
      </c>
      <c r="G72" t="s">
        <v>440</v>
      </c>
      <c r="H72" t="s">
        <v>56</v>
      </c>
      <c r="I72" t="s">
        <v>49</v>
      </c>
      <c r="J72" t="s">
        <v>57</v>
      </c>
      <c r="K72" t="s">
        <v>441</v>
      </c>
      <c r="L72" t="s">
        <v>30</v>
      </c>
      <c r="M72" t="s">
        <v>410</v>
      </c>
      <c r="N72" t="s">
        <v>442</v>
      </c>
      <c r="O72" s="2">
        <v>122</v>
      </c>
      <c r="P72">
        <v>3</v>
      </c>
      <c r="Q72" s="3">
        <v>0</v>
      </c>
      <c r="R72" s="2">
        <v>61.02</v>
      </c>
      <c r="S72" s="2">
        <v>1.0900000000000001</v>
      </c>
      <c r="T72" t="s">
        <v>77</v>
      </c>
      <c r="U72">
        <v>2014</v>
      </c>
    </row>
    <row r="73" spans="1:21" x14ac:dyDescent="0.3">
      <c r="A73" t="s">
        <v>443</v>
      </c>
      <c r="B73" s="1">
        <v>41299</v>
      </c>
      <c r="C73" s="1">
        <v>41304</v>
      </c>
      <c r="D73" t="s">
        <v>22</v>
      </c>
      <c r="E73" t="s">
        <v>444</v>
      </c>
      <c r="F73" t="s">
        <v>24</v>
      </c>
      <c r="G73" t="s">
        <v>445</v>
      </c>
      <c r="H73" t="s">
        <v>72</v>
      </c>
      <c r="I73" t="s">
        <v>27</v>
      </c>
      <c r="J73" t="s">
        <v>73</v>
      </c>
      <c r="K73" t="s">
        <v>446</v>
      </c>
      <c r="L73" t="s">
        <v>146</v>
      </c>
      <c r="M73" t="s">
        <v>347</v>
      </c>
      <c r="N73" t="s">
        <v>447</v>
      </c>
      <c r="O73" s="2">
        <v>1591</v>
      </c>
      <c r="P73">
        <v>6</v>
      </c>
      <c r="Q73" s="3">
        <v>0</v>
      </c>
      <c r="R73" s="2">
        <v>47.7</v>
      </c>
      <c r="S73" s="2">
        <v>132.38999999999999</v>
      </c>
      <c r="T73" t="s">
        <v>33</v>
      </c>
      <c r="U73">
        <v>2013</v>
      </c>
    </row>
    <row r="74" spans="1:21" x14ac:dyDescent="0.3">
      <c r="A74" t="s">
        <v>448</v>
      </c>
      <c r="B74" s="1">
        <v>41579</v>
      </c>
      <c r="C74" s="1">
        <v>41584</v>
      </c>
      <c r="D74" t="s">
        <v>45</v>
      </c>
      <c r="E74" t="s">
        <v>449</v>
      </c>
      <c r="F74" t="s">
        <v>24</v>
      </c>
      <c r="G74" t="s">
        <v>450</v>
      </c>
      <c r="H74" t="s">
        <v>205</v>
      </c>
      <c r="I74" t="s">
        <v>49</v>
      </c>
      <c r="J74" t="s">
        <v>57</v>
      </c>
      <c r="K74" t="s">
        <v>451</v>
      </c>
      <c r="L74" t="s">
        <v>30</v>
      </c>
      <c r="M74" t="s">
        <v>370</v>
      </c>
      <c r="N74" t="s">
        <v>452</v>
      </c>
      <c r="O74" s="2">
        <v>48</v>
      </c>
      <c r="P74">
        <v>1</v>
      </c>
      <c r="Q74" s="3">
        <v>0</v>
      </c>
      <c r="R74" s="2">
        <v>4.32</v>
      </c>
      <c r="S74" s="2">
        <v>3.3</v>
      </c>
      <c r="T74" t="s">
        <v>33</v>
      </c>
      <c r="U74">
        <v>2013</v>
      </c>
    </row>
    <row r="75" spans="1:21" x14ac:dyDescent="0.3">
      <c r="A75" t="s">
        <v>453</v>
      </c>
      <c r="B75" s="1">
        <v>41334</v>
      </c>
      <c r="C75" s="1">
        <v>41340</v>
      </c>
      <c r="D75" t="s">
        <v>22</v>
      </c>
      <c r="E75" t="s">
        <v>454</v>
      </c>
      <c r="F75" t="s">
        <v>54</v>
      </c>
      <c r="G75" t="s">
        <v>351</v>
      </c>
      <c r="H75" t="s">
        <v>56</v>
      </c>
      <c r="I75" t="s">
        <v>49</v>
      </c>
      <c r="J75" t="s">
        <v>57</v>
      </c>
      <c r="K75" t="s">
        <v>455</v>
      </c>
      <c r="L75" t="s">
        <v>30</v>
      </c>
      <c r="M75" t="s">
        <v>31</v>
      </c>
      <c r="N75" t="s">
        <v>456</v>
      </c>
      <c r="O75" s="2">
        <v>121</v>
      </c>
      <c r="P75">
        <v>12</v>
      </c>
      <c r="Q75" s="3">
        <v>0</v>
      </c>
      <c r="R75" s="2">
        <v>55.44</v>
      </c>
      <c r="S75" s="2">
        <v>14.91</v>
      </c>
      <c r="T75" t="s">
        <v>77</v>
      </c>
      <c r="U75">
        <v>2013</v>
      </c>
    </row>
    <row r="76" spans="1:21" x14ac:dyDescent="0.3">
      <c r="A76" t="s">
        <v>457</v>
      </c>
      <c r="B76" s="1">
        <v>40921</v>
      </c>
      <c r="C76" s="1">
        <v>40926</v>
      </c>
      <c r="D76" t="s">
        <v>22</v>
      </c>
      <c r="E76" t="s">
        <v>458</v>
      </c>
      <c r="F76" t="s">
        <v>24</v>
      </c>
      <c r="G76" t="s">
        <v>374</v>
      </c>
      <c r="H76" t="s">
        <v>316</v>
      </c>
      <c r="I76" t="s">
        <v>27</v>
      </c>
      <c r="J76" t="s">
        <v>212</v>
      </c>
      <c r="K76" t="s">
        <v>459</v>
      </c>
      <c r="L76" t="s">
        <v>146</v>
      </c>
      <c r="M76" t="s">
        <v>195</v>
      </c>
      <c r="N76" t="s">
        <v>460</v>
      </c>
      <c r="O76" s="2">
        <v>1411</v>
      </c>
      <c r="P76">
        <v>9</v>
      </c>
      <c r="Q76" s="3">
        <v>0.1</v>
      </c>
      <c r="R76" s="2">
        <v>486.05399999999997</v>
      </c>
      <c r="S76" s="2">
        <v>213.5</v>
      </c>
      <c r="T76" t="s">
        <v>99</v>
      </c>
      <c r="U76">
        <v>2012</v>
      </c>
    </row>
    <row r="77" spans="1:21" x14ac:dyDescent="0.3">
      <c r="A77" t="s">
        <v>461</v>
      </c>
      <c r="B77" s="1">
        <v>41301</v>
      </c>
      <c r="C77" s="1">
        <v>41308</v>
      </c>
      <c r="D77" t="s">
        <v>22</v>
      </c>
      <c r="E77" t="s">
        <v>462</v>
      </c>
      <c r="F77" t="s">
        <v>54</v>
      </c>
      <c r="G77" t="s">
        <v>463</v>
      </c>
      <c r="H77" t="s">
        <v>48</v>
      </c>
      <c r="I77" t="s">
        <v>49</v>
      </c>
      <c r="J77" t="s">
        <v>40</v>
      </c>
      <c r="K77" t="s">
        <v>464</v>
      </c>
      <c r="L77" t="s">
        <v>30</v>
      </c>
      <c r="M77" t="s">
        <v>410</v>
      </c>
      <c r="N77" t="s">
        <v>465</v>
      </c>
      <c r="O77" s="2">
        <v>164</v>
      </c>
      <c r="P77">
        <v>4</v>
      </c>
      <c r="Q77" s="3">
        <v>0</v>
      </c>
      <c r="R77" s="2">
        <v>63.84</v>
      </c>
      <c r="S77" s="2">
        <v>11.77</v>
      </c>
      <c r="T77" t="s">
        <v>33</v>
      </c>
      <c r="U77">
        <v>2013</v>
      </c>
    </row>
    <row r="78" spans="1:21" x14ac:dyDescent="0.3">
      <c r="A78" t="s">
        <v>466</v>
      </c>
      <c r="B78" s="1">
        <v>40572</v>
      </c>
      <c r="C78" s="1">
        <v>40578</v>
      </c>
      <c r="D78" t="s">
        <v>22</v>
      </c>
      <c r="E78" t="s">
        <v>467</v>
      </c>
      <c r="F78" t="s">
        <v>24</v>
      </c>
      <c r="G78" t="s">
        <v>468</v>
      </c>
      <c r="H78" t="s">
        <v>469</v>
      </c>
      <c r="I78" t="s">
        <v>117</v>
      </c>
      <c r="J78" t="s">
        <v>117</v>
      </c>
      <c r="K78" t="s">
        <v>470</v>
      </c>
      <c r="L78" t="s">
        <v>30</v>
      </c>
      <c r="M78" t="s">
        <v>370</v>
      </c>
      <c r="N78" t="s">
        <v>471</v>
      </c>
      <c r="O78" s="2">
        <v>44</v>
      </c>
      <c r="P78">
        <v>1</v>
      </c>
      <c r="Q78" s="3">
        <v>0</v>
      </c>
      <c r="R78" s="2">
        <v>16.23</v>
      </c>
      <c r="S78" s="2">
        <v>3.35</v>
      </c>
      <c r="T78" t="s">
        <v>33</v>
      </c>
      <c r="U78">
        <v>2011</v>
      </c>
    </row>
    <row r="79" spans="1:21" x14ac:dyDescent="0.3">
      <c r="A79" t="s">
        <v>472</v>
      </c>
      <c r="B79" s="1">
        <v>41668</v>
      </c>
      <c r="C79" s="1">
        <v>41672</v>
      </c>
      <c r="D79" t="s">
        <v>45</v>
      </c>
      <c r="E79" t="s">
        <v>473</v>
      </c>
      <c r="F79" t="s">
        <v>54</v>
      </c>
      <c r="G79" t="s">
        <v>474</v>
      </c>
      <c r="H79" t="s">
        <v>211</v>
      </c>
      <c r="I79" t="s">
        <v>27</v>
      </c>
      <c r="J79" t="s">
        <v>212</v>
      </c>
      <c r="K79" t="s">
        <v>475</v>
      </c>
      <c r="L79" t="s">
        <v>146</v>
      </c>
      <c r="M79" t="s">
        <v>347</v>
      </c>
      <c r="N79" t="s">
        <v>476</v>
      </c>
      <c r="O79" s="2">
        <v>853</v>
      </c>
      <c r="P79">
        <v>4</v>
      </c>
      <c r="Q79" s="3">
        <v>0.4</v>
      </c>
      <c r="R79" s="2">
        <v>-42.695999999999998</v>
      </c>
      <c r="S79" s="2">
        <v>91.22</v>
      </c>
      <c r="T79" t="s">
        <v>33</v>
      </c>
      <c r="U79">
        <v>2014</v>
      </c>
    </row>
    <row r="80" spans="1:21" x14ac:dyDescent="0.3">
      <c r="A80" t="s">
        <v>477</v>
      </c>
      <c r="B80" s="1">
        <v>41852</v>
      </c>
      <c r="C80" s="1">
        <v>41858</v>
      </c>
      <c r="D80" t="s">
        <v>22</v>
      </c>
      <c r="E80" t="s">
        <v>478</v>
      </c>
      <c r="F80" t="s">
        <v>36</v>
      </c>
      <c r="G80" t="s">
        <v>479</v>
      </c>
      <c r="H80" t="s">
        <v>235</v>
      </c>
      <c r="I80" t="s">
        <v>39</v>
      </c>
      <c r="J80" t="s">
        <v>236</v>
      </c>
      <c r="K80" t="s">
        <v>480</v>
      </c>
      <c r="L80" t="s">
        <v>146</v>
      </c>
      <c r="M80" t="s">
        <v>271</v>
      </c>
      <c r="N80" t="s">
        <v>481</v>
      </c>
      <c r="O80" s="2">
        <v>660</v>
      </c>
      <c r="P80">
        <v>5</v>
      </c>
      <c r="Q80" s="3">
        <v>0.2</v>
      </c>
      <c r="R80" s="2">
        <v>131.97999999999999</v>
      </c>
      <c r="S80" s="2">
        <v>47.06</v>
      </c>
      <c r="T80" t="s">
        <v>33</v>
      </c>
      <c r="U80">
        <v>2014</v>
      </c>
    </row>
    <row r="81" spans="1:21" x14ac:dyDescent="0.3">
      <c r="A81" t="s">
        <v>482</v>
      </c>
      <c r="B81" s="1">
        <v>41487</v>
      </c>
      <c r="C81" s="1">
        <v>41493</v>
      </c>
      <c r="D81" t="s">
        <v>22</v>
      </c>
      <c r="E81" t="s">
        <v>483</v>
      </c>
      <c r="F81" t="s">
        <v>54</v>
      </c>
      <c r="G81" t="s">
        <v>127</v>
      </c>
      <c r="H81" t="s">
        <v>128</v>
      </c>
      <c r="I81" t="s">
        <v>49</v>
      </c>
      <c r="J81" t="s">
        <v>129</v>
      </c>
      <c r="K81" t="s">
        <v>484</v>
      </c>
      <c r="L81" t="s">
        <v>59</v>
      </c>
      <c r="M81" t="s">
        <v>339</v>
      </c>
      <c r="N81" t="s">
        <v>485</v>
      </c>
      <c r="O81" s="2">
        <v>442</v>
      </c>
      <c r="P81">
        <v>3</v>
      </c>
      <c r="Q81" s="3">
        <v>0</v>
      </c>
      <c r="R81" s="2">
        <v>30.87</v>
      </c>
      <c r="S81" s="2">
        <v>67.81</v>
      </c>
      <c r="T81" t="s">
        <v>77</v>
      </c>
      <c r="U81">
        <v>2013</v>
      </c>
    </row>
    <row r="82" spans="1:21" x14ac:dyDescent="0.3">
      <c r="A82" t="s">
        <v>486</v>
      </c>
      <c r="B82" s="1">
        <v>41153</v>
      </c>
      <c r="C82" s="1">
        <v>41158</v>
      </c>
      <c r="D82" t="s">
        <v>22</v>
      </c>
      <c r="E82" t="s">
        <v>487</v>
      </c>
      <c r="F82" t="s">
        <v>54</v>
      </c>
      <c r="G82" t="s">
        <v>488</v>
      </c>
      <c r="H82" t="s">
        <v>87</v>
      </c>
      <c r="I82" t="s">
        <v>88</v>
      </c>
      <c r="J82" t="s">
        <v>88</v>
      </c>
      <c r="K82" t="s">
        <v>489</v>
      </c>
      <c r="L82" t="s">
        <v>30</v>
      </c>
      <c r="M82" t="s">
        <v>42</v>
      </c>
      <c r="N82" t="s">
        <v>490</v>
      </c>
      <c r="O82" s="2">
        <v>28</v>
      </c>
      <c r="P82">
        <v>1</v>
      </c>
      <c r="Q82" s="3">
        <v>0.6</v>
      </c>
      <c r="R82" s="2">
        <v>-30.312000000000001</v>
      </c>
      <c r="S82" s="2">
        <v>1.49</v>
      </c>
      <c r="T82" t="s">
        <v>33</v>
      </c>
      <c r="U82">
        <v>2012</v>
      </c>
    </row>
    <row r="83" spans="1:21" x14ac:dyDescent="0.3">
      <c r="A83" t="s">
        <v>491</v>
      </c>
      <c r="B83" s="1">
        <v>41334</v>
      </c>
      <c r="C83" s="1">
        <v>41341</v>
      </c>
      <c r="D83" t="s">
        <v>22</v>
      </c>
      <c r="E83" t="s">
        <v>492</v>
      </c>
      <c r="F83" t="s">
        <v>36</v>
      </c>
      <c r="G83" t="s">
        <v>493</v>
      </c>
      <c r="H83" t="s">
        <v>48</v>
      </c>
      <c r="I83" t="s">
        <v>49</v>
      </c>
      <c r="J83" t="s">
        <v>40</v>
      </c>
      <c r="K83" t="s">
        <v>494</v>
      </c>
      <c r="L83" t="s">
        <v>30</v>
      </c>
      <c r="M83" t="s">
        <v>105</v>
      </c>
      <c r="N83" t="s">
        <v>495</v>
      </c>
      <c r="O83" s="2">
        <v>62</v>
      </c>
      <c r="P83">
        <v>3</v>
      </c>
      <c r="Q83" s="3">
        <v>0</v>
      </c>
      <c r="R83" s="2">
        <v>28.98</v>
      </c>
      <c r="S83" s="2">
        <v>6.23</v>
      </c>
      <c r="T83" t="s">
        <v>33</v>
      </c>
      <c r="U83">
        <v>2013</v>
      </c>
    </row>
    <row r="84" spans="1:21" x14ac:dyDescent="0.3">
      <c r="A84" t="s">
        <v>496</v>
      </c>
      <c r="B84" s="1">
        <v>41122</v>
      </c>
      <c r="C84" s="1">
        <v>41128</v>
      </c>
      <c r="D84" t="s">
        <v>22</v>
      </c>
      <c r="E84" t="s">
        <v>497</v>
      </c>
      <c r="F84" t="s">
        <v>36</v>
      </c>
      <c r="G84" t="s">
        <v>134</v>
      </c>
      <c r="H84" t="s">
        <v>135</v>
      </c>
      <c r="I84" t="s">
        <v>136</v>
      </c>
      <c r="J84" t="s">
        <v>137</v>
      </c>
      <c r="K84" t="s">
        <v>498</v>
      </c>
      <c r="L84" t="s">
        <v>30</v>
      </c>
      <c r="M84" t="s">
        <v>90</v>
      </c>
      <c r="N84" t="s">
        <v>499</v>
      </c>
      <c r="O84" s="2">
        <v>7</v>
      </c>
      <c r="P84">
        <v>4</v>
      </c>
      <c r="Q84" s="3">
        <v>0</v>
      </c>
      <c r="R84" s="2">
        <v>3.36</v>
      </c>
      <c r="S84" s="2">
        <v>0.33</v>
      </c>
      <c r="T84" t="s">
        <v>33</v>
      </c>
      <c r="U84">
        <v>2012</v>
      </c>
    </row>
    <row r="85" spans="1:21" x14ac:dyDescent="0.3">
      <c r="A85" t="s">
        <v>500</v>
      </c>
      <c r="B85" s="1">
        <v>41660</v>
      </c>
      <c r="C85" s="1">
        <v>41666</v>
      </c>
      <c r="D85" t="s">
        <v>22</v>
      </c>
      <c r="E85" t="s">
        <v>501</v>
      </c>
      <c r="F85" t="s">
        <v>54</v>
      </c>
      <c r="G85" t="s">
        <v>502</v>
      </c>
      <c r="H85" t="s">
        <v>56</v>
      </c>
      <c r="I85" t="s">
        <v>49</v>
      </c>
      <c r="J85" t="s">
        <v>57</v>
      </c>
      <c r="K85" t="s">
        <v>503</v>
      </c>
      <c r="L85" t="s">
        <v>146</v>
      </c>
      <c r="M85" t="s">
        <v>195</v>
      </c>
      <c r="N85" t="s">
        <v>504</v>
      </c>
      <c r="O85" s="2">
        <v>586</v>
      </c>
      <c r="P85">
        <v>8</v>
      </c>
      <c r="Q85" s="3">
        <v>0.15</v>
      </c>
      <c r="R85" s="2">
        <v>34.332000000000001</v>
      </c>
      <c r="S85" s="2">
        <v>53.91</v>
      </c>
      <c r="T85" t="s">
        <v>33</v>
      </c>
      <c r="U85">
        <v>2014</v>
      </c>
    </row>
    <row r="86" spans="1:21" x14ac:dyDescent="0.3">
      <c r="A86" t="s">
        <v>505</v>
      </c>
      <c r="B86" s="1">
        <v>41698</v>
      </c>
      <c r="C86" s="1">
        <v>41700</v>
      </c>
      <c r="D86" t="s">
        <v>45</v>
      </c>
      <c r="E86" t="s">
        <v>506</v>
      </c>
      <c r="F86" t="s">
        <v>24</v>
      </c>
      <c r="G86" t="s">
        <v>507</v>
      </c>
      <c r="H86" t="s">
        <v>128</v>
      </c>
      <c r="I86" t="s">
        <v>49</v>
      </c>
      <c r="J86" t="s">
        <v>129</v>
      </c>
      <c r="K86" t="s">
        <v>508</v>
      </c>
      <c r="L86" t="s">
        <v>30</v>
      </c>
      <c r="M86" t="s">
        <v>66</v>
      </c>
      <c r="N86" t="s">
        <v>509</v>
      </c>
      <c r="O86" s="2">
        <v>81</v>
      </c>
      <c r="P86">
        <v>3</v>
      </c>
      <c r="Q86" s="3">
        <v>0</v>
      </c>
      <c r="R86" s="2">
        <v>18.54</v>
      </c>
      <c r="S86" s="2">
        <v>5.09</v>
      </c>
      <c r="T86" t="s">
        <v>99</v>
      </c>
      <c r="U86">
        <v>2014</v>
      </c>
    </row>
    <row r="87" spans="1:21" x14ac:dyDescent="0.3">
      <c r="A87" t="s">
        <v>510</v>
      </c>
      <c r="B87" s="1">
        <v>40599</v>
      </c>
      <c r="C87" s="1">
        <v>40605</v>
      </c>
      <c r="D87" t="s">
        <v>22</v>
      </c>
      <c r="E87" t="s">
        <v>511</v>
      </c>
      <c r="F87" t="s">
        <v>54</v>
      </c>
      <c r="G87" t="s">
        <v>512</v>
      </c>
      <c r="H87" t="s">
        <v>152</v>
      </c>
      <c r="I87" t="s">
        <v>27</v>
      </c>
      <c r="J87" t="s">
        <v>153</v>
      </c>
      <c r="K87" t="s">
        <v>513</v>
      </c>
      <c r="L87" t="s">
        <v>146</v>
      </c>
      <c r="M87" t="s">
        <v>147</v>
      </c>
      <c r="N87" t="s">
        <v>514</v>
      </c>
      <c r="O87" s="2">
        <v>1527</v>
      </c>
      <c r="P87">
        <v>9</v>
      </c>
      <c r="Q87" s="3">
        <v>0</v>
      </c>
      <c r="R87" s="2">
        <v>656.64</v>
      </c>
      <c r="S87" s="2">
        <v>172.32</v>
      </c>
      <c r="T87" t="s">
        <v>33</v>
      </c>
      <c r="U87">
        <v>2011</v>
      </c>
    </row>
    <row r="88" spans="1:21" x14ac:dyDescent="0.3">
      <c r="A88" t="s">
        <v>515</v>
      </c>
      <c r="B88" s="1">
        <v>41696</v>
      </c>
      <c r="C88" s="1">
        <v>41701</v>
      </c>
      <c r="D88" t="s">
        <v>22</v>
      </c>
      <c r="E88" t="s">
        <v>516</v>
      </c>
      <c r="F88" t="s">
        <v>36</v>
      </c>
      <c r="G88" t="s">
        <v>517</v>
      </c>
      <c r="H88" t="s">
        <v>518</v>
      </c>
      <c r="I88" t="s">
        <v>117</v>
      </c>
      <c r="J88" t="s">
        <v>117</v>
      </c>
      <c r="K88" t="s">
        <v>519</v>
      </c>
      <c r="L88" t="s">
        <v>146</v>
      </c>
      <c r="M88" t="s">
        <v>347</v>
      </c>
      <c r="N88" t="s">
        <v>520</v>
      </c>
      <c r="O88" s="2">
        <v>318</v>
      </c>
      <c r="P88">
        <v>1</v>
      </c>
      <c r="Q88" s="3">
        <v>0</v>
      </c>
      <c r="R88" s="2">
        <v>31.8</v>
      </c>
      <c r="S88" s="2">
        <v>29.43</v>
      </c>
      <c r="T88" t="s">
        <v>33</v>
      </c>
      <c r="U88">
        <v>2014</v>
      </c>
    </row>
    <row r="89" spans="1:21" x14ac:dyDescent="0.3">
      <c r="A89" t="s">
        <v>521</v>
      </c>
      <c r="B89" s="1">
        <v>41488</v>
      </c>
      <c r="C89" s="1">
        <v>41492</v>
      </c>
      <c r="D89" t="s">
        <v>22</v>
      </c>
      <c r="E89" t="s">
        <v>522</v>
      </c>
      <c r="F89" t="s">
        <v>24</v>
      </c>
      <c r="G89" t="s">
        <v>523</v>
      </c>
      <c r="H89" t="s">
        <v>524</v>
      </c>
      <c r="I89" t="s">
        <v>39</v>
      </c>
      <c r="J89" t="s">
        <v>40</v>
      </c>
      <c r="K89" t="s">
        <v>525</v>
      </c>
      <c r="L89" t="s">
        <v>30</v>
      </c>
      <c r="M89" t="s">
        <v>31</v>
      </c>
      <c r="N89" t="s">
        <v>526</v>
      </c>
      <c r="O89" s="2">
        <v>2</v>
      </c>
      <c r="P89">
        <v>1</v>
      </c>
      <c r="Q89" s="3">
        <v>0.7</v>
      </c>
      <c r="R89" s="2">
        <v>-3.9239999999999999</v>
      </c>
      <c r="S89" s="2">
        <v>0.36</v>
      </c>
      <c r="T89" t="s">
        <v>99</v>
      </c>
      <c r="U89">
        <v>2013</v>
      </c>
    </row>
    <row r="90" spans="1:21" x14ac:dyDescent="0.3">
      <c r="A90" t="s">
        <v>527</v>
      </c>
      <c r="B90" s="1">
        <v>41215</v>
      </c>
      <c r="C90" s="1">
        <v>41218</v>
      </c>
      <c r="D90" t="s">
        <v>84</v>
      </c>
      <c r="E90" t="s">
        <v>528</v>
      </c>
      <c r="F90" t="s">
        <v>54</v>
      </c>
      <c r="G90" t="s">
        <v>529</v>
      </c>
      <c r="H90" t="s">
        <v>135</v>
      </c>
      <c r="I90" t="s">
        <v>136</v>
      </c>
      <c r="J90" t="s">
        <v>40</v>
      </c>
      <c r="K90" t="s">
        <v>530</v>
      </c>
      <c r="L90" t="s">
        <v>30</v>
      </c>
      <c r="M90" t="s">
        <v>42</v>
      </c>
      <c r="N90" t="s">
        <v>531</v>
      </c>
      <c r="O90" s="2">
        <v>198</v>
      </c>
      <c r="P90">
        <v>4</v>
      </c>
      <c r="Q90" s="3">
        <v>0</v>
      </c>
      <c r="R90" s="2">
        <v>55.361600000000003</v>
      </c>
      <c r="S90" s="2">
        <v>40.869999999999997</v>
      </c>
      <c r="T90" t="s">
        <v>33</v>
      </c>
      <c r="U90">
        <v>2012</v>
      </c>
    </row>
    <row r="91" spans="1:21" x14ac:dyDescent="0.3">
      <c r="A91" t="s">
        <v>532</v>
      </c>
      <c r="B91" s="1">
        <v>41307</v>
      </c>
      <c r="C91" s="1">
        <v>41312</v>
      </c>
      <c r="D91" t="s">
        <v>22</v>
      </c>
      <c r="E91" t="s">
        <v>533</v>
      </c>
      <c r="F91" t="s">
        <v>24</v>
      </c>
      <c r="G91" t="s">
        <v>534</v>
      </c>
      <c r="H91" t="s">
        <v>110</v>
      </c>
      <c r="I91" t="s">
        <v>88</v>
      </c>
      <c r="J91" t="s">
        <v>88</v>
      </c>
      <c r="K91" t="s">
        <v>535</v>
      </c>
      <c r="L91" t="s">
        <v>30</v>
      </c>
      <c r="M91" t="s">
        <v>42</v>
      </c>
      <c r="N91" t="s">
        <v>536</v>
      </c>
      <c r="O91" s="2">
        <v>100</v>
      </c>
      <c r="P91">
        <v>1</v>
      </c>
      <c r="Q91" s="3">
        <v>0</v>
      </c>
      <c r="R91" s="2">
        <v>46.8</v>
      </c>
      <c r="S91" s="2">
        <v>11.82</v>
      </c>
      <c r="T91" t="s">
        <v>99</v>
      </c>
      <c r="U91">
        <v>2013</v>
      </c>
    </row>
    <row r="92" spans="1:21" x14ac:dyDescent="0.3">
      <c r="A92" t="s">
        <v>537</v>
      </c>
      <c r="B92" s="1">
        <v>41332</v>
      </c>
      <c r="C92" s="1">
        <v>41333</v>
      </c>
      <c r="D92" t="s">
        <v>84</v>
      </c>
      <c r="E92" t="s">
        <v>538</v>
      </c>
      <c r="F92" t="s">
        <v>24</v>
      </c>
      <c r="G92" t="s">
        <v>539</v>
      </c>
      <c r="H92" t="s">
        <v>152</v>
      </c>
      <c r="I92" t="s">
        <v>27</v>
      </c>
      <c r="J92" t="s">
        <v>153</v>
      </c>
      <c r="K92" t="s">
        <v>540</v>
      </c>
      <c r="L92" t="s">
        <v>30</v>
      </c>
      <c r="M92" t="s">
        <v>90</v>
      </c>
      <c r="N92" t="s">
        <v>541</v>
      </c>
      <c r="O92" s="2">
        <v>49</v>
      </c>
      <c r="P92">
        <v>4</v>
      </c>
      <c r="Q92" s="3">
        <v>0</v>
      </c>
      <c r="R92" s="2">
        <v>14.28</v>
      </c>
      <c r="S92" s="2">
        <v>11.13</v>
      </c>
      <c r="T92" t="s">
        <v>99</v>
      </c>
      <c r="U92">
        <v>2013</v>
      </c>
    </row>
    <row r="93" spans="1:21" x14ac:dyDescent="0.3">
      <c r="A93" t="s">
        <v>542</v>
      </c>
      <c r="B93" s="1">
        <v>41276</v>
      </c>
      <c r="C93" s="1">
        <v>41282</v>
      </c>
      <c r="D93" t="s">
        <v>22</v>
      </c>
      <c r="E93" t="s">
        <v>543</v>
      </c>
      <c r="F93" t="s">
        <v>54</v>
      </c>
      <c r="G93" t="s">
        <v>127</v>
      </c>
      <c r="H93" t="s">
        <v>128</v>
      </c>
      <c r="I93" t="s">
        <v>49</v>
      </c>
      <c r="J93" t="s">
        <v>129</v>
      </c>
      <c r="K93" t="s">
        <v>544</v>
      </c>
      <c r="L93" t="s">
        <v>59</v>
      </c>
      <c r="M93" t="s">
        <v>339</v>
      </c>
      <c r="N93" t="s">
        <v>545</v>
      </c>
      <c r="O93" s="2">
        <v>1567</v>
      </c>
      <c r="P93">
        <v>8</v>
      </c>
      <c r="Q93" s="3">
        <v>0</v>
      </c>
      <c r="R93" s="2">
        <v>360.48</v>
      </c>
      <c r="S93" s="2">
        <v>157.47</v>
      </c>
      <c r="T93" t="s">
        <v>77</v>
      </c>
      <c r="U93">
        <v>2013</v>
      </c>
    </row>
    <row r="94" spans="1:21" x14ac:dyDescent="0.3">
      <c r="A94" t="s">
        <v>546</v>
      </c>
      <c r="B94" s="1">
        <v>40696</v>
      </c>
      <c r="C94" s="1">
        <v>40701</v>
      </c>
      <c r="D94" t="s">
        <v>22</v>
      </c>
      <c r="E94" t="s">
        <v>547</v>
      </c>
      <c r="F94" t="s">
        <v>54</v>
      </c>
      <c r="G94" t="s">
        <v>548</v>
      </c>
      <c r="H94" t="s">
        <v>48</v>
      </c>
      <c r="I94" t="s">
        <v>49</v>
      </c>
      <c r="J94" t="s">
        <v>40</v>
      </c>
      <c r="K94" t="s">
        <v>549</v>
      </c>
      <c r="L94" t="s">
        <v>30</v>
      </c>
      <c r="M94" t="s">
        <v>66</v>
      </c>
      <c r="N94" t="s">
        <v>550</v>
      </c>
      <c r="O94" s="2">
        <v>56</v>
      </c>
      <c r="P94">
        <v>2</v>
      </c>
      <c r="Q94" s="3">
        <v>0.4</v>
      </c>
      <c r="R94" s="2">
        <v>-0.97199999999999998</v>
      </c>
      <c r="S94" s="2">
        <v>7.05</v>
      </c>
      <c r="T94" t="s">
        <v>99</v>
      </c>
      <c r="U94">
        <v>2011</v>
      </c>
    </row>
    <row r="95" spans="1:21" x14ac:dyDescent="0.3">
      <c r="A95" t="s">
        <v>551</v>
      </c>
      <c r="B95" s="1">
        <v>41325</v>
      </c>
      <c r="C95" s="1">
        <v>41331</v>
      </c>
      <c r="D95" t="s">
        <v>22</v>
      </c>
      <c r="E95" t="s">
        <v>552</v>
      </c>
      <c r="F95" t="s">
        <v>54</v>
      </c>
      <c r="G95" t="s">
        <v>440</v>
      </c>
      <c r="H95" t="s">
        <v>56</v>
      </c>
      <c r="I95" t="s">
        <v>49</v>
      </c>
      <c r="J95" t="s">
        <v>57</v>
      </c>
      <c r="K95" t="s">
        <v>553</v>
      </c>
      <c r="L95" t="s">
        <v>146</v>
      </c>
      <c r="M95" t="s">
        <v>147</v>
      </c>
      <c r="N95" t="s">
        <v>554</v>
      </c>
      <c r="O95" s="2">
        <v>419</v>
      </c>
      <c r="P95">
        <v>4</v>
      </c>
      <c r="Q95" s="3">
        <v>0.15</v>
      </c>
      <c r="R95" s="2">
        <v>-44.423999999999999</v>
      </c>
      <c r="S95" s="2">
        <v>33.659999999999997</v>
      </c>
      <c r="T95" t="s">
        <v>33</v>
      </c>
      <c r="U95">
        <v>2013</v>
      </c>
    </row>
    <row r="96" spans="1:21" x14ac:dyDescent="0.3">
      <c r="A96" t="s">
        <v>555</v>
      </c>
      <c r="B96" s="1">
        <v>41690</v>
      </c>
      <c r="C96" s="1">
        <v>41697</v>
      </c>
      <c r="D96" t="s">
        <v>22</v>
      </c>
      <c r="E96" t="s">
        <v>556</v>
      </c>
      <c r="F96" t="s">
        <v>54</v>
      </c>
      <c r="G96" t="s">
        <v>557</v>
      </c>
      <c r="H96" t="s">
        <v>558</v>
      </c>
      <c r="I96" t="s">
        <v>117</v>
      </c>
      <c r="J96" t="s">
        <v>117</v>
      </c>
      <c r="K96" t="s">
        <v>559</v>
      </c>
      <c r="L96" t="s">
        <v>30</v>
      </c>
      <c r="M96" t="s">
        <v>370</v>
      </c>
      <c r="N96" t="s">
        <v>560</v>
      </c>
      <c r="O96" s="2">
        <v>50</v>
      </c>
      <c r="P96">
        <v>2</v>
      </c>
      <c r="Q96" s="3">
        <v>0</v>
      </c>
      <c r="R96" s="2">
        <v>6</v>
      </c>
      <c r="S96" s="2">
        <v>4.7699999999999996</v>
      </c>
      <c r="T96" t="s">
        <v>77</v>
      </c>
      <c r="U96">
        <v>2014</v>
      </c>
    </row>
    <row r="97" spans="1:21" x14ac:dyDescent="0.3">
      <c r="A97" t="s">
        <v>561</v>
      </c>
      <c r="B97" s="1">
        <v>40600</v>
      </c>
      <c r="C97" s="1">
        <v>40606</v>
      </c>
      <c r="D97" t="s">
        <v>22</v>
      </c>
      <c r="E97" t="s">
        <v>562</v>
      </c>
      <c r="F97" t="s">
        <v>54</v>
      </c>
      <c r="G97" t="s">
        <v>563</v>
      </c>
      <c r="H97" t="s">
        <v>564</v>
      </c>
      <c r="I97" t="s">
        <v>49</v>
      </c>
      <c r="J97" t="s">
        <v>57</v>
      </c>
      <c r="K97" t="s">
        <v>565</v>
      </c>
      <c r="L97" t="s">
        <v>59</v>
      </c>
      <c r="M97" t="s">
        <v>60</v>
      </c>
      <c r="N97" t="s">
        <v>566</v>
      </c>
      <c r="O97" s="2">
        <v>533</v>
      </c>
      <c r="P97">
        <v>6</v>
      </c>
      <c r="Q97" s="3">
        <v>0.2</v>
      </c>
      <c r="R97" s="2">
        <v>-0.14399999999999999</v>
      </c>
      <c r="S97" s="2">
        <v>39.26</v>
      </c>
      <c r="T97" t="s">
        <v>33</v>
      </c>
      <c r="U97">
        <v>2011</v>
      </c>
    </row>
    <row r="98" spans="1:21" x14ac:dyDescent="0.3">
      <c r="A98" t="s">
        <v>567</v>
      </c>
      <c r="B98" s="1">
        <v>41975</v>
      </c>
      <c r="C98" s="1">
        <v>41982</v>
      </c>
      <c r="D98" t="s">
        <v>22</v>
      </c>
      <c r="E98" t="s">
        <v>568</v>
      </c>
      <c r="F98" t="s">
        <v>24</v>
      </c>
      <c r="G98" t="s">
        <v>569</v>
      </c>
      <c r="H98" t="s">
        <v>135</v>
      </c>
      <c r="I98" t="s">
        <v>136</v>
      </c>
      <c r="J98" t="s">
        <v>57</v>
      </c>
      <c r="K98" t="s">
        <v>570</v>
      </c>
      <c r="L98" t="s">
        <v>30</v>
      </c>
      <c r="M98" t="s">
        <v>105</v>
      </c>
      <c r="N98" t="s">
        <v>571</v>
      </c>
      <c r="O98" s="2">
        <v>10</v>
      </c>
      <c r="P98">
        <v>2</v>
      </c>
      <c r="Q98" s="3">
        <v>0.2</v>
      </c>
      <c r="R98" s="2">
        <v>3.6288</v>
      </c>
      <c r="S98" s="2">
        <v>0.6</v>
      </c>
      <c r="T98" t="s">
        <v>33</v>
      </c>
      <c r="U98">
        <v>2014</v>
      </c>
    </row>
    <row r="99" spans="1:21" x14ac:dyDescent="0.3">
      <c r="A99" t="s">
        <v>572</v>
      </c>
      <c r="B99" s="1">
        <v>41975</v>
      </c>
      <c r="C99" s="1">
        <v>41979</v>
      </c>
      <c r="D99" t="s">
        <v>22</v>
      </c>
      <c r="E99" t="s">
        <v>573</v>
      </c>
      <c r="F99" t="s">
        <v>54</v>
      </c>
      <c r="G99" t="s">
        <v>574</v>
      </c>
      <c r="H99" t="s">
        <v>135</v>
      </c>
      <c r="I99" t="s">
        <v>136</v>
      </c>
      <c r="J99" t="s">
        <v>396</v>
      </c>
      <c r="K99" t="s">
        <v>575</v>
      </c>
      <c r="L99" t="s">
        <v>30</v>
      </c>
      <c r="M99" t="s">
        <v>75</v>
      </c>
      <c r="N99" t="s">
        <v>576</v>
      </c>
      <c r="O99" s="2">
        <v>16</v>
      </c>
      <c r="P99">
        <v>4</v>
      </c>
      <c r="Q99" s="3">
        <v>0.2</v>
      </c>
      <c r="R99" s="2">
        <v>5.1791999999999998</v>
      </c>
      <c r="S99" s="2">
        <v>1.82</v>
      </c>
      <c r="T99" t="s">
        <v>99</v>
      </c>
      <c r="U99">
        <v>2014</v>
      </c>
    </row>
    <row r="100" spans="1:21" x14ac:dyDescent="0.3">
      <c r="A100" t="s">
        <v>577</v>
      </c>
      <c r="B100" s="1">
        <v>41519</v>
      </c>
      <c r="C100" s="1">
        <v>41521</v>
      </c>
      <c r="D100" t="s">
        <v>45</v>
      </c>
      <c r="E100" t="s">
        <v>578</v>
      </c>
      <c r="F100" t="s">
        <v>36</v>
      </c>
      <c r="G100" t="s">
        <v>579</v>
      </c>
      <c r="H100" t="s">
        <v>580</v>
      </c>
      <c r="I100" t="s">
        <v>39</v>
      </c>
      <c r="J100" t="s">
        <v>40</v>
      </c>
      <c r="K100" t="s">
        <v>581</v>
      </c>
      <c r="L100" t="s">
        <v>146</v>
      </c>
      <c r="M100" t="s">
        <v>147</v>
      </c>
      <c r="N100" t="s">
        <v>582</v>
      </c>
      <c r="O100" s="2">
        <v>197</v>
      </c>
      <c r="P100">
        <v>4</v>
      </c>
      <c r="Q100" s="3">
        <v>0.4</v>
      </c>
      <c r="R100" s="2">
        <v>-59.295999999999999</v>
      </c>
      <c r="S100" s="2">
        <v>28.96</v>
      </c>
      <c r="T100" t="s">
        <v>99</v>
      </c>
      <c r="U100">
        <v>2013</v>
      </c>
    </row>
    <row r="101" spans="1:21" x14ac:dyDescent="0.3">
      <c r="A101" t="s">
        <v>583</v>
      </c>
      <c r="B101" s="1">
        <v>41694</v>
      </c>
      <c r="C101" s="1">
        <v>41701</v>
      </c>
      <c r="D101" t="s">
        <v>22</v>
      </c>
      <c r="E101" t="s">
        <v>584</v>
      </c>
      <c r="F101" t="s">
        <v>24</v>
      </c>
      <c r="G101" t="s">
        <v>64</v>
      </c>
      <c r="H101" t="s">
        <v>56</v>
      </c>
      <c r="I101" t="s">
        <v>49</v>
      </c>
      <c r="J101" t="s">
        <v>57</v>
      </c>
      <c r="K101" t="s">
        <v>585</v>
      </c>
      <c r="L101" t="s">
        <v>30</v>
      </c>
      <c r="M101" t="s">
        <v>90</v>
      </c>
      <c r="N101" t="s">
        <v>586</v>
      </c>
      <c r="O101" s="2">
        <v>163</v>
      </c>
      <c r="P101">
        <v>6</v>
      </c>
      <c r="Q101" s="3">
        <v>0</v>
      </c>
      <c r="R101" s="2">
        <v>81.180000000000007</v>
      </c>
      <c r="S101" s="2">
        <v>13.37</v>
      </c>
      <c r="T101" t="s">
        <v>77</v>
      </c>
      <c r="U101">
        <v>2014</v>
      </c>
    </row>
    <row r="102" spans="1:21" x14ac:dyDescent="0.3">
      <c r="A102" t="s">
        <v>587</v>
      </c>
      <c r="B102" s="1">
        <v>40910</v>
      </c>
      <c r="C102" s="1">
        <v>40912</v>
      </c>
      <c r="D102" t="s">
        <v>45</v>
      </c>
      <c r="E102" t="s">
        <v>588</v>
      </c>
      <c r="F102" t="s">
        <v>24</v>
      </c>
      <c r="G102" t="s">
        <v>589</v>
      </c>
      <c r="H102" t="s">
        <v>135</v>
      </c>
      <c r="I102" t="s">
        <v>136</v>
      </c>
      <c r="J102" t="s">
        <v>396</v>
      </c>
      <c r="K102" t="s">
        <v>590</v>
      </c>
      <c r="L102" t="s">
        <v>30</v>
      </c>
      <c r="M102" t="s">
        <v>90</v>
      </c>
      <c r="N102" t="s">
        <v>591</v>
      </c>
      <c r="O102" s="2">
        <v>10</v>
      </c>
      <c r="P102">
        <v>3</v>
      </c>
      <c r="Q102" s="3">
        <v>0</v>
      </c>
      <c r="R102" s="2">
        <v>2.6568000000000001</v>
      </c>
      <c r="S102" s="2">
        <v>2.77</v>
      </c>
      <c r="T102" t="s">
        <v>68</v>
      </c>
      <c r="U102">
        <v>2012</v>
      </c>
    </row>
    <row r="103" spans="1:21" x14ac:dyDescent="0.3">
      <c r="A103" t="s">
        <v>592</v>
      </c>
      <c r="B103" s="1">
        <v>40954</v>
      </c>
      <c r="C103" s="1">
        <v>40956</v>
      </c>
      <c r="D103" t="s">
        <v>45</v>
      </c>
      <c r="E103" t="s">
        <v>593</v>
      </c>
      <c r="F103" t="s">
        <v>54</v>
      </c>
      <c r="G103" t="s">
        <v>127</v>
      </c>
      <c r="H103" t="s">
        <v>128</v>
      </c>
      <c r="I103" t="s">
        <v>49</v>
      </c>
      <c r="J103" t="s">
        <v>129</v>
      </c>
      <c r="K103" t="s">
        <v>594</v>
      </c>
      <c r="L103" t="s">
        <v>30</v>
      </c>
      <c r="M103" t="s">
        <v>97</v>
      </c>
      <c r="N103" t="s">
        <v>595</v>
      </c>
      <c r="O103" s="2">
        <v>58</v>
      </c>
      <c r="P103">
        <v>3</v>
      </c>
      <c r="Q103" s="3">
        <v>0</v>
      </c>
      <c r="R103" s="2">
        <v>23.13</v>
      </c>
      <c r="S103" s="2">
        <v>8.86</v>
      </c>
      <c r="T103" t="s">
        <v>99</v>
      </c>
      <c r="U103">
        <v>2012</v>
      </c>
    </row>
    <row r="104" spans="1:21" x14ac:dyDescent="0.3">
      <c r="A104" t="s">
        <v>596</v>
      </c>
      <c r="B104" s="1">
        <v>40879</v>
      </c>
      <c r="C104" s="1">
        <v>40884</v>
      </c>
      <c r="D104" t="s">
        <v>22</v>
      </c>
      <c r="E104" t="s">
        <v>121</v>
      </c>
      <c r="F104" t="s">
        <v>36</v>
      </c>
      <c r="G104" t="s">
        <v>597</v>
      </c>
      <c r="H104" t="s">
        <v>56</v>
      </c>
      <c r="I104" t="s">
        <v>49</v>
      </c>
      <c r="J104" t="s">
        <v>57</v>
      </c>
      <c r="K104" t="s">
        <v>598</v>
      </c>
      <c r="L104" t="s">
        <v>30</v>
      </c>
      <c r="M104" t="s">
        <v>31</v>
      </c>
      <c r="N104" t="s">
        <v>599</v>
      </c>
      <c r="O104" s="2">
        <v>246</v>
      </c>
      <c r="P104">
        <v>5</v>
      </c>
      <c r="Q104" s="3">
        <v>0</v>
      </c>
      <c r="R104" s="2">
        <v>105.75</v>
      </c>
      <c r="S104" s="2">
        <v>23.91</v>
      </c>
      <c r="T104" t="s">
        <v>33</v>
      </c>
      <c r="U104">
        <v>2011</v>
      </c>
    </row>
    <row r="105" spans="1:21" x14ac:dyDescent="0.3">
      <c r="A105" t="s">
        <v>600</v>
      </c>
      <c r="B105" s="1">
        <v>41975</v>
      </c>
      <c r="C105" s="1">
        <v>41979</v>
      </c>
      <c r="D105" t="s">
        <v>22</v>
      </c>
      <c r="E105" t="s">
        <v>601</v>
      </c>
      <c r="F105" t="s">
        <v>24</v>
      </c>
      <c r="G105" t="s">
        <v>602</v>
      </c>
      <c r="H105" t="s">
        <v>602</v>
      </c>
      <c r="I105" t="s">
        <v>39</v>
      </c>
      <c r="J105" t="s">
        <v>57</v>
      </c>
      <c r="K105" t="s">
        <v>603</v>
      </c>
      <c r="L105" t="s">
        <v>146</v>
      </c>
      <c r="M105" t="s">
        <v>147</v>
      </c>
      <c r="N105" t="s">
        <v>604</v>
      </c>
      <c r="O105" s="2">
        <v>445</v>
      </c>
      <c r="P105">
        <v>4</v>
      </c>
      <c r="Q105" s="3">
        <v>0</v>
      </c>
      <c r="R105" s="2">
        <v>4.4000000000000004</v>
      </c>
      <c r="S105" s="2">
        <v>16.23</v>
      </c>
      <c r="T105" t="s">
        <v>33</v>
      </c>
      <c r="U105">
        <v>2014</v>
      </c>
    </row>
    <row r="106" spans="1:21" x14ac:dyDescent="0.3">
      <c r="A106" t="s">
        <v>605</v>
      </c>
      <c r="B106" s="1">
        <v>41689</v>
      </c>
      <c r="C106" s="1">
        <v>41695</v>
      </c>
      <c r="D106" t="s">
        <v>22</v>
      </c>
      <c r="E106" t="s">
        <v>606</v>
      </c>
      <c r="F106" t="s">
        <v>54</v>
      </c>
      <c r="G106" t="s">
        <v>607</v>
      </c>
      <c r="H106" t="s">
        <v>235</v>
      </c>
      <c r="I106" t="s">
        <v>39</v>
      </c>
      <c r="J106" t="s">
        <v>236</v>
      </c>
      <c r="K106" t="s">
        <v>608</v>
      </c>
      <c r="L106" t="s">
        <v>59</v>
      </c>
      <c r="M106" t="s">
        <v>139</v>
      </c>
      <c r="N106" t="s">
        <v>609</v>
      </c>
      <c r="O106" s="2">
        <v>92</v>
      </c>
      <c r="P106">
        <v>3</v>
      </c>
      <c r="Q106" s="3">
        <v>0.2</v>
      </c>
      <c r="R106" s="2">
        <v>-3.516</v>
      </c>
      <c r="S106" s="2">
        <v>7.18</v>
      </c>
      <c r="T106" t="s">
        <v>33</v>
      </c>
      <c r="U106">
        <v>2014</v>
      </c>
    </row>
    <row r="107" spans="1:21" x14ac:dyDescent="0.3">
      <c r="A107" t="s">
        <v>610</v>
      </c>
      <c r="B107" s="1">
        <v>41324</v>
      </c>
      <c r="C107" s="1">
        <v>41331</v>
      </c>
      <c r="D107" t="s">
        <v>22</v>
      </c>
      <c r="E107" t="s">
        <v>611</v>
      </c>
      <c r="F107" t="s">
        <v>36</v>
      </c>
      <c r="G107" t="s">
        <v>612</v>
      </c>
      <c r="H107" t="s">
        <v>211</v>
      </c>
      <c r="I107" t="s">
        <v>27</v>
      </c>
      <c r="J107" t="s">
        <v>212</v>
      </c>
      <c r="K107" t="s">
        <v>613</v>
      </c>
      <c r="L107" t="s">
        <v>146</v>
      </c>
      <c r="M107" t="s">
        <v>347</v>
      </c>
      <c r="N107" t="s">
        <v>614</v>
      </c>
      <c r="O107" s="2">
        <v>1129</v>
      </c>
      <c r="P107">
        <v>8</v>
      </c>
      <c r="Q107" s="3">
        <v>0</v>
      </c>
      <c r="R107" s="2">
        <v>485.28</v>
      </c>
      <c r="S107" s="2">
        <v>124.57</v>
      </c>
      <c r="T107" t="s">
        <v>33</v>
      </c>
      <c r="U107">
        <v>2013</v>
      </c>
    </row>
    <row r="108" spans="1:21" x14ac:dyDescent="0.3">
      <c r="A108" t="s">
        <v>615</v>
      </c>
      <c r="B108" s="1">
        <v>40788</v>
      </c>
      <c r="C108" s="1">
        <v>40793</v>
      </c>
      <c r="D108" t="s">
        <v>45</v>
      </c>
      <c r="E108" t="s">
        <v>616</v>
      </c>
      <c r="F108" t="s">
        <v>54</v>
      </c>
      <c r="G108" t="s">
        <v>617</v>
      </c>
      <c r="H108" t="s">
        <v>26</v>
      </c>
      <c r="I108" t="s">
        <v>27</v>
      </c>
      <c r="J108" t="s">
        <v>28</v>
      </c>
      <c r="K108" t="s">
        <v>618</v>
      </c>
      <c r="L108" t="s">
        <v>30</v>
      </c>
      <c r="M108" t="s">
        <v>97</v>
      </c>
      <c r="N108" t="s">
        <v>619</v>
      </c>
      <c r="O108" s="2">
        <v>15</v>
      </c>
      <c r="P108">
        <v>2</v>
      </c>
      <c r="Q108" s="3">
        <v>0.47</v>
      </c>
      <c r="R108" s="2">
        <v>0.83160000000000001</v>
      </c>
      <c r="S108" s="2">
        <v>1.21</v>
      </c>
      <c r="T108" t="s">
        <v>33</v>
      </c>
      <c r="U108">
        <v>2011</v>
      </c>
    </row>
    <row r="109" spans="1:21" x14ac:dyDescent="0.3">
      <c r="A109" t="s">
        <v>620</v>
      </c>
      <c r="B109" s="1">
        <v>41325</v>
      </c>
      <c r="C109" s="1">
        <v>41332</v>
      </c>
      <c r="D109" t="s">
        <v>22</v>
      </c>
      <c r="E109" t="s">
        <v>621</v>
      </c>
      <c r="F109" t="s">
        <v>36</v>
      </c>
      <c r="G109" t="s">
        <v>548</v>
      </c>
      <c r="H109" t="s">
        <v>48</v>
      </c>
      <c r="I109" t="s">
        <v>49</v>
      </c>
      <c r="J109" t="s">
        <v>40</v>
      </c>
      <c r="K109" t="s">
        <v>622</v>
      </c>
      <c r="L109" t="s">
        <v>30</v>
      </c>
      <c r="M109" t="s">
        <v>31</v>
      </c>
      <c r="N109" t="s">
        <v>623</v>
      </c>
      <c r="O109" s="2">
        <v>73</v>
      </c>
      <c r="P109">
        <v>5</v>
      </c>
      <c r="Q109" s="3">
        <v>0</v>
      </c>
      <c r="R109" s="2">
        <v>24</v>
      </c>
      <c r="S109" s="2">
        <v>4.78</v>
      </c>
      <c r="T109" t="s">
        <v>33</v>
      </c>
      <c r="U109">
        <v>2013</v>
      </c>
    </row>
    <row r="110" spans="1:21" x14ac:dyDescent="0.3">
      <c r="A110" t="s">
        <v>624</v>
      </c>
      <c r="B110" s="1">
        <v>40962</v>
      </c>
      <c r="C110" s="1">
        <v>40968</v>
      </c>
      <c r="D110" t="s">
        <v>22</v>
      </c>
      <c r="E110" t="s">
        <v>625</v>
      </c>
      <c r="F110" t="s">
        <v>36</v>
      </c>
      <c r="G110" t="s">
        <v>626</v>
      </c>
      <c r="H110" t="s">
        <v>627</v>
      </c>
      <c r="I110" t="s">
        <v>88</v>
      </c>
      <c r="J110" t="s">
        <v>88</v>
      </c>
      <c r="K110" t="s">
        <v>628</v>
      </c>
      <c r="L110" t="s">
        <v>30</v>
      </c>
      <c r="M110" t="s">
        <v>97</v>
      </c>
      <c r="N110" t="s">
        <v>629</v>
      </c>
      <c r="O110" s="2">
        <v>52</v>
      </c>
      <c r="P110">
        <v>4</v>
      </c>
      <c r="Q110" s="3">
        <v>0</v>
      </c>
      <c r="R110" s="2">
        <v>23.28</v>
      </c>
      <c r="S110" s="2">
        <v>2.42</v>
      </c>
      <c r="T110" t="s">
        <v>33</v>
      </c>
      <c r="U110">
        <v>2012</v>
      </c>
    </row>
    <row r="111" spans="1:21" x14ac:dyDescent="0.3">
      <c r="A111" t="s">
        <v>630</v>
      </c>
      <c r="B111" s="1">
        <v>41331</v>
      </c>
      <c r="C111" s="1">
        <v>41336</v>
      </c>
      <c r="D111" t="s">
        <v>22</v>
      </c>
      <c r="E111" t="s">
        <v>631</v>
      </c>
      <c r="F111" t="s">
        <v>54</v>
      </c>
      <c r="G111" t="s">
        <v>252</v>
      </c>
      <c r="H111" t="s">
        <v>144</v>
      </c>
      <c r="I111" t="s">
        <v>117</v>
      </c>
      <c r="J111" t="s">
        <v>117</v>
      </c>
      <c r="K111" t="s">
        <v>628</v>
      </c>
      <c r="L111" t="s">
        <v>30</v>
      </c>
      <c r="M111" t="s">
        <v>97</v>
      </c>
      <c r="N111" t="s">
        <v>629</v>
      </c>
      <c r="O111" s="2">
        <v>4</v>
      </c>
      <c r="P111">
        <v>1</v>
      </c>
      <c r="Q111" s="3">
        <v>0.7</v>
      </c>
      <c r="R111" s="2">
        <v>-3.2519999999999998</v>
      </c>
      <c r="S111" s="2">
        <v>0.21</v>
      </c>
      <c r="T111" t="s">
        <v>33</v>
      </c>
      <c r="U111">
        <v>2013</v>
      </c>
    </row>
    <row r="112" spans="1:21" x14ac:dyDescent="0.3">
      <c r="A112" t="s">
        <v>630</v>
      </c>
      <c r="B112" s="1">
        <v>41331</v>
      </c>
      <c r="C112" s="1">
        <v>41336</v>
      </c>
      <c r="D112" t="s">
        <v>22</v>
      </c>
      <c r="E112" t="s">
        <v>631</v>
      </c>
      <c r="F112" t="s">
        <v>54</v>
      </c>
      <c r="G112" t="s">
        <v>252</v>
      </c>
      <c r="H112" t="s">
        <v>144</v>
      </c>
      <c r="I112" t="s">
        <v>117</v>
      </c>
      <c r="J112" t="s">
        <v>117</v>
      </c>
      <c r="K112" t="s">
        <v>632</v>
      </c>
      <c r="L112" t="s">
        <v>146</v>
      </c>
      <c r="M112" t="s">
        <v>195</v>
      </c>
      <c r="N112" t="s">
        <v>633</v>
      </c>
      <c r="O112" s="2">
        <v>98</v>
      </c>
      <c r="P112">
        <v>2</v>
      </c>
      <c r="Q112" s="3">
        <v>0.7</v>
      </c>
      <c r="R112" s="2">
        <v>-140.63999999999999</v>
      </c>
      <c r="S112" s="2">
        <v>8.16</v>
      </c>
      <c r="T112" t="s">
        <v>33</v>
      </c>
      <c r="U112">
        <v>2013</v>
      </c>
    </row>
    <row r="113" spans="1:21" x14ac:dyDescent="0.3">
      <c r="A113" t="s">
        <v>634</v>
      </c>
      <c r="B113" s="1">
        <v>41853</v>
      </c>
      <c r="C113" s="1">
        <v>41856</v>
      </c>
      <c r="D113" t="s">
        <v>45</v>
      </c>
      <c r="E113" t="s">
        <v>635</v>
      </c>
      <c r="F113" t="s">
        <v>36</v>
      </c>
      <c r="G113" t="s">
        <v>636</v>
      </c>
      <c r="H113" t="s">
        <v>637</v>
      </c>
      <c r="I113" t="s">
        <v>88</v>
      </c>
      <c r="J113" t="s">
        <v>88</v>
      </c>
      <c r="K113" t="s">
        <v>470</v>
      </c>
      <c r="L113" t="s">
        <v>30</v>
      </c>
      <c r="M113" t="s">
        <v>370</v>
      </c>
      <c r="N113" t="s">
        <v>471</v>
      </c>
      <c r="O113" s="2">
        <v>88</v>
      </c>
      <c r="P113">
        <v>2</v>
      </c>
      <c r="Q113" s="3">
        <v>0</v>
      </c>
      <c r="R113" s="2">
        <v>32.46</v>
      </c>
      <c r="S113" s="2">
        <v>13.06</v>
      </c>
      <c r="T113" t="s">
        <v>99</v>
      </c>
      <c r="U113">
        <v>2014</v>
      </c>
    </row>
    <row r="114" spans="1:21" x14ac:dyDescent="0.3">
      <c r="A114" t="s">
        <v>638</v>
      </c>
      <c r="B114" s="1">
        <v>40849</v>
      </c>
      <c r="C114" s="1">
        <v>40854</v>
      </c>
      <c r="D114" t="s">
        <v>22</v>
      </c>
      <c r="E114" t="s">
        <v>639</v>
      </c>
      <c r="F114" t="s">
        <v>54</v>
      </c>
      <c r="G114" t="s">
        <v>640</v>
      </c>
      <c r="H114" t="s">
        <v>72</v>
      </c>
      <c r="I114" t="s">
        <v>27</v>
      </c>
      <c r="J114" t="s">
        <v>73</v>
      </c>
      <c r="K114" t="s">
        <v>641</v>
      </c>
      <c r="L114" t="s">
        <v>146</v>
      </c>
      <c r="M114" t="s">
        <v>271</v>
      </c>
      <c r="N114" t="s">
        <v>642</v>
      </c>
      <c r="O114" s="2">
        <v>228</v>
      </c>
      <c r="P114">
        <v>2</v>
      </c>
      <c r="Q114" s="3">
        <v>0</v>
      </c>
      <c r="R114" s="2">
        <v>0</v>
      </c>
      <c r="S114" s="2">
        <v>8.4</v>
      </c>
      <c r="T114" t="s">
        <v>33</v>
      </c>
      <c r="U114">
        <v>2011</v>
      </c>
    </row>
    <row r="115" spans="1:21" x14ac:dyDescent="0.3">
      <c r="A115" t="s">
        <v>643</v>
      </c>
      <c r="B115" s="1">
        <v>40960</v>
      </c>
      <c r="C115" s="1">
        <v>40962</v>
      </c>
      <c r="D115" t="s">
        <v>45</v>
      </c>
      <c r="E115" t="s">
        <v>423</v>
      </c>
      <c r="F115" t="s">
        <v>54</v>
      </c>
      <c r="G115" t="s">
        <v>644</v>
      </c>
      <c r="H115" t="s">
        <v>135</v>
      </c>
      <c r="I115" t="s">
        <v>136</v>
      </c>
      <c r="J115" t="s">
        <v>137</v>
      </c>
      <c r="K115" t="s">
        <v>645</v>
      </c>
      <c r="L115" t="s">
        <v>30</v>
      </c>
      <c r="M115" t="s">
        <v>105</v>
      </c>
      <c r="N115" t="s">
        <v>646</v>
      </c>
      <c r="O115" s="2">
        <v>49</v>
      </c>
      <c r="P115">
        <v>4</v>
      </c>
      <c r="Q115" s="3">
        <v>0</v>
      </c>
      <c r="R115" s="2">
        <v>23.086400000000001</v>
      </c>
      <c r="S115" s="2">
        <v>17.59</v>
      </c>
      <c r="T115" t="s">
        <v>68</v>
      </c>
      <c r="U115">
        <v>2012</v>
      </c>
    </row>
    <row r="116" spans="1:21" x14ac:dyDescent="0.3">
      <c r="A116" t="s">
        <v>647</v>
      </c>
      <c r="B116" s="1">
        <v>41519</v>
      </c>
      <c r="C116" s="1">
        <v>41525</v>
      </c>
      <c r="D116" t="s">
        <v>22</v>
      </c>
      <c r="E116" t="s">
        <v>635</v>
      </c>
      <c r="F116" t="s">
        <v>36</v>
      </c>
      <c r="G116" t="s">
        <v>648</v>
      </c>
      <c r="H116" t="s">
        <v>649</v>
      </c>
      <c r="I116" t="s">
        <v>27</v>
      </c>
      <c r="J116" t="s">
        <v>73</v>
      </c>
      <c r="K116" t="s">
        <v>650</v>
      </c>
      <c r="L116" t="s">
        <v>30</v>
      </c>
      <c r="M116" t="s">
        <v>31</v>
      </c>
      <c r="N116" t="s">
        <v>651</v>
      </c>
      <c r="O116" s="2">
        <v>106</v>
      </c>
      <c r="P116">
        <v>2</v>
      </c>
      <c r="Q116" s="3">
        <v>0</v>
      </c>
      <c r="R116" s="2">
        <v>43.38</v>
      </c>
      <c r="S116" s="2">
        <v>22.33</v>
      </c>
      <c r="T116" t="s">
        <v>77</v>
      </c>
      <c r="U116">
        <v>2013</v>
      </c>
    </row>
    <row r="117" spans="1:21" x14ac:dyDescent="0.3">
      <c r="A117" t="s">
        <v>652</v>
      </c>
      <c r="B117" s="1">
        <v>41366</v>
      </c>
      <c r="C117" s="1">
        <v>41372</v>
      </c>
      <c r="D117" t="s">
        <v>22</v>
      </c>
      <c r="E117" t="s">
        <v>157</v>
      </c>
      <c r="F117" t="s">
        <v>24</v>
      </c>
      <c r="G117" t="s">
        <v>653</v>
      </c>
      <c r="H117" t="s">
        <v>654</v>
      </c>
      <c r="I117" t="s">
        <v>117</v>
      </c>
      <c r="J117" t="s">
        <v>117</v>
      </c>
      <c r="K117" t="s">
        <v>655</v>
      </c>
      <c r="L117" t="s">
        <v>30</v>
      </c>
      <c r="M117" t="s">
        <v>31</v>
      </c>
      <c r="N117" t="s">
        <v>656</v>
      </c>
      <c r="O117" s="2">
        <v>4</v>
      </c>
      <c r="P117">
        <v>1</v>
      </c>
      <c r="Q117" s="3">
        <v>0</v>
      </c>
      <c r="R117" s="2">
        <v>0</v>
      </c>
      <c r="S117" s="2">
        <v>0.3</v>
      </c>
      <c r="T117" t="s">
        <v>33</v>
      </c>
      <c r="U117">
        <v>2013</v>
      </c>
    </row>
    <row r="118" spans="1:21" x14ac:dyDescent="0.3">
      <c r="A118" t="s">
        <v>657</v>
      </c>
      <c r="B118" s="1">
        <v>41457</v>
      </c>
      <c r="C118" s="1">
        <v>41457</v>
      </c>
      <c r="D118" t="s">
        <v>232</v>
      </c>
      <c r="E118" t="s">
        <v>473</v>
      </c>
      <c r="F118" t="s">
        <v>54</v>
      </c>
      <c r="G118" t="s">
        <v>86</v>
      </c>
      <c r="H118" t="s">
        <v>87</v>
      </c>
      <c r="I118" t="s">
        <v>88</v>
      </c>
      <c r="J118" t="s">
        <v>88</v>
      </c>
      <c r="K118" t="s">
        <v>658</v>
      </c>
      <c r="L118" t="s">
        <v>30</v>
      </c>
      <c r="M118" t="s">
        <v>66</v>
      </c>
      <c r="N118" t="s">
        <v>659</v>
      </c>
      <c r="O118" s="2">
        <v>56</v>
      </c>
      <c r="P118">
        <v>1</v>
      </c>
      <c r="Q118" s="3">
        <v>0.6</v>
      </c>
      <c r="R118" s="2">
        <v>-83.022000000000006</v>
      </c>
      <c r="S118" s="2">
        <v>14.79</v>
      </c>
      <c r="T118" t="s">
        <v>68</v>
      </c>
      <c r="U118">
        <v>2013</v>
      </c>
    </row>
    <row r="119" spans="1:21" x14ac:dyDescent="0.3">
      <c r="A119" t="s">
        <v>660</v>
      </c>
      <c r="B119" s="1">
        <v>41549</v>
      </c>
      <c r="C119" s="1">
        <v>41554</v>
      </c>
      <c r="D119" t="s">
        <v>22</v>
      </c>
      <c r="E119" t="s">
        <v>661</v>
      </c>
      <c r="F119" t="s">
        <v>24</v>
      </c>
      <c r="G119" t="s">
        <v>662</v>
      </c>
      <c r="H119" t="s">
        <v>316</v>
      </c>
      <c r="I119" t="s">
        <v>27</v>
      </c>
      <c r="J119" t="s">
        <v>212</v>
      </c>
      <c r="K119" t="s">
        <v>663</v>
      </c>
      <c r="L119" t="s">
        <v>59</v>
      </c>
      <c r="M119" t="s">
        <v>139</v>
      </c>
      <c r="N119" t="s">
        <v>664</v>
      </c>
      <c r="O119" s="2">
        <v>204</v>
      </c>
      <c r="P119">
        <v>5</v>
      </c>
      <c r="Q119" s="3">
        <v>0.4</v>
      </c>
      <c r="R119" s="2">
        <v>-10.29</v>
      </c>
      <c r="S119" s="2">
        <v>13.56</v>
      </c>
      <c r="T119" t="s">
        <v>33</v>
      </c>
      <c r="U119">
        <v>2013</v>
      </c>
    </row>
    <row r="120" spans="1:21" x14ac:dyDescent="0.3">
      <c r="A120" t="s">
        <v>665</v>
      </c>
      <c r="B120" s="1">
        <v>41332</v>
      </c>
      <c r="C120" s="1">
        <v>41337</v>
      </c>
      <c r="D120" t="s">
        <v>22</v>
      </c>
      <c r="E120" t="s">
        <v>666</v>
      </c>
      <c r="F120" t="s">
        <v>54</v>
      </c>
      <c r="G120" t="s">
        <v>337</v>
      </c>
      <c r="H120" t="s">
        <v>316</v>
      </c>
      <c r="I120" t="s">
        <v>27</v>
      </c>
      <c r="J120" t="s">
        <v>212</v>
      </c>
      <c r="K120" t="s">
        <v>667</v>
      </c>
      <c r="L120" t="s">
        <v>30</v>
      </c>
      <c r="M120" t="s">
        <v>105</v>
      </c>
      <c r="N120" t="s">
        <v>668</v>
      </c>
      <c r="O120" s="2">
        <v>166</v>
      </c>
      <c r="P120">
        <v>7</v>
      </c>
      <c r="Q120" s="3">
        <v>0.1</v>
      </c>
      <c r="R120" s="2">
        <v>36.771000000000001</v>
      </c>
      <c r="S120" s="2">
        <v>9.01</v>
      </c>
      <c r="T120" t="s">
        <v>33</v>
      </c>
      <c r="U120">
        <v>2013</v>
      </c>
    </row>
    <row r="121" spans="1:21" x14ac:dyDescent="0.3">
      <c r="A121" t="s">
        <v>669</v>
      </c>
      <c r="B121" s="1">
        <v>40961</v>
      </c>
      <c r="C121" s="1">
        <v>40963</v>
      </c>
      <c r="D121" t="s">
        <v>45</v>
      </c>
      <c r="E121" t="s">
        <v>670</v>
      </c>
      <c r="F121" t="s">
        <v>36</v>
      </c>
      <c r="G121" t="s">
        <v>671</v>
      </c>
      <c r="H121" t="s">
        <v>135</v>
      </c>
      <c r="I121" t="s">
        <v>136</v>
      </c>
      <c r="J121" t="s">
        <v>57</v>
      </c>
      <c r="K121" t="s">
        <v>672</v>
      </c>
      <c r="L121" t="s">
        <v>30</v>
      </c>
      <c r="M121" t="s">
        <v>90</v>
      </c>
      <c r="N121" t="s">
        <v>673</v>
      </c>
      <c r="O121" s="2">
        <v>79</v>
      </c>
      <c r="P121">
        <v>4</v>
      </c>
      <c r="Q121" s="3">
        <v>0</v>
      </c>
      <c r="R121" s="2">
        <v>20.633600000000001</v>
      </c>
      <c r="S121" s="2">
        <v>5.95</v>
      </c>
      <c r="T121" t="s">
        <v>99</v>
      </c>
      <c r="U121">
        <v>2012</v>
      </c>
    </row>
    <row r="122" spans="1:21" x14ac:dyDescent="0.3">
      <c r="A122" t="s">
        <v>674</v>
      </c>
      <c r="B122" s="1">
        <v>41092</v>
      </c>
      <c r="C122" s="1">
        <v>41096</v>
      </c>
      <c r="D122" t="s">
        <v>22</v>
      </c>
      <c r="E122" t="s">
        <v>675</v>
      </c>
      <c r="F122" t="s">
        <v>54</v>
      </c>
      <c r="G122" t="s">
        <v>158</v>
      </c>
      <c r="H122" t="s">
        <v>135</v>
      </c>
      <c r="I122" t="s">
        <v>136</v>
      </c>
      <c r="J122" t="s">
        <v>57</v>
      </c>
      <c r="K122" t="s">
        <v>676</v>
      </c>
      <c r="L122" t="s">
        <v>30</v>
      </c>
      <c r="M122" t="s">
        <v>66</v>
      </c>
      <c r="N122" t="s">
        <v>677</v>
      </c>
      <c r="O122" s="2">
        <v>69</v>
      </c>
      <c r="P122">
        <v>5</v>
      </c>
      <c r="Q122" s="3">
        <v>0.2</v>
      </c>
      <c r="R122" s="2">
        <v>6.0025000000000004</v>
      </c>
      <c r="S122" s="2">
        <v>3.69</v>
      </c>
      <c r="T122" t="s">
        <v>33</v>
      </c>
      <c r="U122">
        <v>2012</v>
      </c>
    </row>
    <row r="123" spans="1:21" x14ac:dyDescent="0.3">
      <c r="A123" t="s">
        <v>678</v>
      </c>
      <c r="B123" s="1">
        <v>41184</v>
      </c>
      <c r="C123" s="1">
        <v>41189</v>
      </c>
      <c r="D123" t="s">
        <v>22</v>
      </c>
      <c r="E123" t="s">
        <v>679</v>
      </c>
      <c r="F123" t="s">
        <v>54</v>
      </c>
      <c r="G123" t="s">
        <v>414</v>
      </c>
      <c r="H123" t="s">
        <v>414</v>
      </c>
      <c r="I123" t="s">
        <v>39</v>
      </c>
      <c r="J123" t="s">
        <v>57</v>
      </c>
      <c r="K123" t="s">
        <v>680</v>
      </c>
      <c r="L123" t="s">
        <v>59</v>
      </c>
      <c r="M123" t="s">
        <v>139</v>
      </c>
      <c r="N123" t="s">
        <v>681</v>
      </c>
      <c r="O123" s="2">
        <v>51</v>
      </c>
      <c r="P123">
        <v>3</v>
      </c>
      <c r="Q123" s="3">
        <v>0.4</v>
      </c>
      <c r="R123" s="2">
        <v>-12.816000000000001</v>
      </c>
      <c r="S123" s="2">
        <v>4.37</v>
      </c>
      <c r="T123" t="s">
        <v>33</v>
      </c>
      <c r="U123">
        <v>2012</v>
      </c>
    </row>
    <row r="124" spans="1:21" x14ac:dyDescent="0.3">
      <c r="A124" t="s">
        <v>682</v>
      </c>
      <c r="B124" s="1">
        <v>40957</v>
      </c>
      <c r="C124" s="1">
        <v>40961</v>
      </c>
      <c r="D124" t="s">
        <v>22</v>
      </c>
      <c r="E124" t="s">
        <v>683</v>
      </c>
      <c r="F124" t="s">
        <v>36</v>
      </c>
      <c r="G124" t="s">
        <v>37</v>
      </c>
      <c r="H124" t="s">
        <v>38</v>
      </c>
      <c r="I124" t="s">
        <v>39</v>
      </c>
      <c r="J124" t="s">
        <v>40</v>
      </c>
      <c r="K124" t="s">
        <v>684</v>
      </c>
      <c r="L124" t="s">
        <v>146</v>
      </c>
      <c r="M124" t="s">
        <v>271</v>
      </c>
      <c r="N124" t="s">
        <v>685</v>
      </c>
      <c r="O124" s="2">
        <v>821</v>
      </c>
      <c r="P124">
        <v>5</v>
      </c>
      <c r="Q124" s="3">
        <v>0</v>
      </c>
      <c r="R124" s="2">
        <v>352.9</v>
      </c>
      <c r="S124" s="2">
        <v>52.51</v>
      </c>
      <c r="T124" t="s">
        <v>33</v>
      </c>
      <c r="U124">
        <v>2012</v>
      </c>
    </row>
    <row r="125" spans="1:21" x14ac:dyDescent="0.3">
      <c r="A125" t="s">
        <v>686</v>
      </c>
      <c r="B125" s="1">
        <v>41396</v>
      </c>
      <c r="C125" s="1">
        <v>41399</v>
      </c>
      <c r="D125" t="s">
        <v>84</v>
      </c>
      <c r="E125" t="s">
        <v>687</v>
      </c>
      <c r="F125" t="s">
        <v>54</v>
      </c>
      <c r="G125" t="s">
        <v>688</v>
      </c>
      <c r="H125" t="s">
        <v>135</v>
      </c>
      <c r="I125" t="s">
        <v>136</v>
      </c>
      <c r="J125" t="s">
        <v>40</v>
      </c>
      <c r="K125" t="s">
        <v>689</v>
      </c>
      <c r="L125" t="s">
        <v>59</v>
      </c>
      <c r="M125" t="s">
        <v>329</v>
      </c>
      <c r="N125" t="s">
        <v>690</v>
      </c>
      <c r="O125" s="2">
        <v>371</v>
      </c>
      <c r="P125">
        <v>3</v>
      </c>
      <c r="Q125" s="3">
        <v>0.4</v>
      </c>
      <c r="R125" s="2">
        <v>-142.071</v>
      </c>
      <c r="S125" s="2">
        <v>91.58</v>
      </c>
      <c r="T125" t="s">
        <v>33</v>
      </c>
      <c r="U125">
        <v>2013</v>
      </c>
    </row>
    <row r="126" spans="1:21" x14ac:dyDescent="0.3">
      <c r="A126" t="s">
        <v>691</v>
      </c>
      <c r="B126" s="1">
        <v>40849</v>
      </c>
      <c r="C126" s="1">
        <v>40855</v>
      </c>
      <c r="D126" t="s">
        <v>22</v>
      </c>
      <c r="E126" t="s">
        <v>692</v>
      </c>
      <c r="F126" t="s">
        <v>24</v>
      </c>
      <c r="G126" t="s">
        <v>693</v>
      </c>
      <c r="H126" t="s">
        <v>402</v>
      </c>
      <c r="I126" t="s">
        <v>39</v>
      </c>
      <c r="J126" t="s">
        <v>236</v>
      </c>
      <c r="K126" t="s">
        <v>694</v>
      </c>
      <c r="L126" t="s">
        <v>30</v>
      </c>
      <c r="M126" t="s">
        <v>31</v>
      </c>
      <c r="N126" t="s">
        <v>695</v>
      </c>
      <c r="O126" s="2">
        <v>37</v>
      </c>
      <c r="P126">
        <v>2</v>
      </c>
      <c r="Q126" s="3">
        <v>0</v>
      </c>
      <c r="R126" s="2">
        <v>13.16</v>
      </c>
      <c r="S126" s="2">
        <v>4.25</v>
      </c>
      <c r="T126" t="s">
        <v>33</v>
      </c>
      <c r="U126">
        <v>2011</v>
      </c>
    </row>
    <row r="127" spans="1:21" x14ac:dyDescent="0.3">
      <c r="A127" t="s">
        <v>696</v>
      </c>
      <c r="B127" s="1">
        <v>41488</v>
      </c>
      <c r="C127" s="1">
        <v>41494</v>
      </c>
      <c r="D127" t="s">
        <v>22</v>
      </c>
      <c r="E127" t="s">
        <v>675</v>
      </c>
      <c r="F127" t="s">
        <v>54</v>
      </c>
      <c r="G127" t="s">
        <v>697</v>
      </c>
      <c r="H127" t="s">
        <v>654</v>
      </c>
      <c r="I127" t="s">
        <v>117</v>
      </c>
      <c r="J127" t="s">
        <v>117</v>
      </c>
      <c r="K127" t="s">
        <v>698</v>
      </c>
      <c r="L127" t="s">
        <v>146</v>
      </c>
      <c r="M127" t="s">
        <v>271</v>
      </c>
      <c r="N127" t="s">
        <v>699</v>
      </c>
      <c r="O127" s="2">
        <v>45</v>
      </c>
      <c r="P127">
        <v>1</v>
      </c>
      <c r="Q127" s="3">
        <v>0</v>
      </c>
      <c r="R127" s="2">
        <v>13.56</v>
      </c>
      <c r="S127" s="2">
        <v>3.06</v>
      </c>
      <c r="T127" t="s">
        <v>33</v>
      </c>
      <c r="U127">
        <v>2013</v>
      </c>
    </row>
    <row r="128" spans="1:21" x14ac:dyDescent="0.3">
      <c r="A128" t="s">
        <v>700</v>
      </c>
      <c r="B128" s="1">
        <v>41457</v>
      </c>
      <c r="C128" s="1">
        <v>41460</v>
      </c>
      <c r="D128" t="s">
        <v>84</v>
      </c>
      <c r="E128" t="s">
        <v>701</v>
      </c>
      <c r="F128" t="s">
        <v>54</v>
      </c>
      <c r="G128" t="s">
        <v>184</v>
      </c>
      <c r="H128" t="s">
        <v>152</v>
      </c>
      <c r="I128" t="s">
        <v>27</v>
      </c>
      <c r="J128" t="s">
        <v>153</v>
      </c>
      <c r="K128" t="s">
        <v>702</v>
      </c>
      <c r="L128" t="s">
        <v>146</v>
      </c>
      <c r="M128" t="s">
        <v>147</v>
      </c>
      <c r="N128" t="s">
        <v>703</v>
      </c>
      <c r="O128" s="2">
        <v>374</v>
      </c>
      <c r="P128">
        <v>3</v>
      </c>
      <c r="Q128" s="3">
        <v>0</v>
      </c>
      <c r="R128" s="2">
        <v>18.63</v>
      </c>
      <c r="S128" s="2">
        <v>70.930000000000007</v>
      </c>
      <c r="T128" t="s">
        <v>68</v>
      </c>
      <c r="U128">
        <v>2013</v>
      </c>
    </row>
    <row r="129" spans="1:21" x14ac:dyDescent="0.3">
      <c r="A129" t="s">
        <v>505</v>
      </c>
      <c r="B129" s="1">
        <v>41698</v>
      </c>
      <c r="C129" s="1">
        <v>41700</v>
      </c>
      <c r="D129" t="s">
        <v>45</v>
      </c>
      <c r="E129" t="s">
        <v>506</v>
      </c>
      <c r="F129" t="s">
        <v>24</v>
      </c>
      <c r="G129" t="s">
        <v>507</v>
      </c>
      <c r="H129" t="s">
        <v>128</v>
      </c>
      <c r="I129" t="s">
        <v>49</v>
      </c>
      <c r="J129" t="s">
        <v>129</v>
      </c>
      <c r="K129" t="s">
        <v>704</v>
      </c>
      <c r="L129" t="s">
        <v>30</v>
      </c>
      <c r="M129" t="s">
        <v>66</v>
      </c>
      <c r="N129" t="s">
        <v>705</v>
      </c>
      <c r="O129" s="2">
        <v>184</v>
      </c>
      <c r="P129">
        <v>3</v>
      </c>
      <c r="Q129" s="3">
        <v>0</v>
      </c>
      <c r="R129" s="2">
        <v>56.88</v>
      </c>
      <c r="S129" s="2">
        <v>23.77</v>
      </c>
      <c r="T129" t="s">
        <v>99</v>
      </c>
      <c r="U129">
        <v>2014</v>
      </c>
    </row>
    <row r="130" spans="1:21" x14ac:dyDescent="0.3">
      <c r="A130" t="s">
        <v>706</v>
      </c>
      <c r="B130" s="1">
        <v>40910</v>
      </c>
      <c r="C130" s="1">
        <v>40914</v>
      </c>
      <c r="D130" t="s">
        <v>22</v>
      </c>
      <c r="E130" t="s">
        <v>707</v>
      </c>
      <c r="F130" t="s">
        <v>24</v>
      </c>
      <c r="G130" t="s">
        <v>708</v>
      </c>
      <c r="H130" t="s">
        <v>103</v>
      </c>
      <c r="I130" t="s">
        <v>39</v>
      </c>
      <c r="J130" t="s">
        <v>57</v>
      </c>
      <c r="K130" t="s">
        <v>709</v>
      </c>
      <c r="L130" t="s">
        <v>59</v>
      </c>
      <c r="M130" t="s">
        <v>329</v>
      </c>
      <c r="N130" t="s">
        <v>710</v>
      </c>
      <c r="O130" s="2">
        <v>178</v>
      </c>
      <c r="P130">
        <v>2</v>
      </c>
      <c r="Q130" s="3">
        <v>0.7</v>
      </c>
      <c r="R130" s="2">
        <v>-154.512</v>
      </c>
      <c r="S130" s="2">
        <v>28.41</v>
      </c>
      <c r="T130" t="s">
        <v>99</v>
      </c>
      <c r="U130">
        <v>2012</v>
      </c>
    </row>
    <row r="131" spans="1:21" x14ac:dyDescent="0.3">
      <c r="A131" t="s">
        <v>711</v>
      </c>
      <c r="B131" s="1">
        <v>41488</v>
      </c>
      <c r="C131" s="1">
        <v>41490</v>
      </c>
      <c r="D131" t="s">
        <v>45</v>
      </c>
      <c r="E131" t="s">
        <v>712</v>
      </c>
      <c r="F131" t="s">
        <v>24</v>
      </c>
      <c r="G131" t="s">
        <v>57</v>
      </c>
      <c r="H131" t="s">
        <v>713</v>
      </c>
      <c r="I131" t="s">
        <v>39</v>
      </c>
      <c r="J131" t="s">
        <v>40</v>
      </c>
      <c r="K131" t="s">
        <v>714</v>
      </c>
      <c r="L131" t="s">
        <v>59</v>
      </c>
      <c r="M131" t="s">
        <v>60</v>
      </c>
      <c r="N131" t="s">
        <v>715</v>
      </c>
      <c r="O131" s="2">
        <v>104</v>
      </c>
      <c r="P131">
        <v>3</v>
      </c>
      <c r="Q131" s="3">
        <v>0</v>
      </c>
      <c r="R131" s="2">
        <v>39.42</v>
      </c>
      <c r="S131" s="2">
        <v>14.11</v>
      </c>
      <c r="T131" t="s">
        <v>99</v>
      </c>
      <c r="U131">
        <v>2013</v>
      </c>
    </row>
    <row r="132" spans="1:21" x14ac:dyDescent="0.3">
      <c r="A132" t="s">
        <v>716</v>
      </c>
      <c r="B132" s="1">
        <v>41321</v>
      </c>
      <c r="C132" s="1">
        <v>41325</v>
      </c>
      <c r="D132" t="s">
        <v>22</v>
      </c>
      <c r="E132" t="s">
        <v>717</v>
      </c>
      <c r="F132" t="s">
        <v>24</v>
      </c>
      <c r="G132" t="s">
        <v>158</v>
      </c>
      <c r="H132" t="s">
        <v>135</v>
      </c>
      <c r="I132" t="s">
        <v>136</v>
      </c>
      <c r="J132" t="s">
        <v>57</v>
      </c>
      <c r="K132" t="s">
        <v>718</v>
      </c>
      <c r="L132" t="s">
        <v>30</v>
      </c>
      <c r="M132" t="s">
        <v>97</v>
      </c>
      <c r="N132" t="s">
        <v>719</v>
      </c>
      <c r="O132" s="2">
        <v>7</v>
      </c>
      <c r="P132">
        <v>4</v>
      </c>
      <c r="Q132" s="3">
        <v>0.2</v>
      </c>
      <c r="R132" s="2">
        <v>1.8311999999999999</v>
      </c>
      <c r="S132" s="2">
        <v>0.21</v>
      </c>
      <c r="T132" t="s">
        <v>33</v>
      </c>
      <c r="U132">
        <v>2013</v>
      </c>
    </row>
    <row r="133" spans="1:21" x14ac:dyDescent="0.3">
      <c r="A133" t="s">
        <v>720</v>
      </c>
      <c r="B133" s="1">
        <v>41698</v>
      </c>
      <c r="C133" s="1">
        <v>41703</v>
      </c>
      <c r="D133" t="s">
        <v>22</v>
      </c>
      <c r="E133" t="s">
        <v>721</v>
      </c>
      <c r="F133" t="s">
        <v>36</v>
      </c>
      <c r="G133" t="s">
        <v>722</v>
      </c>
      <c r="H133" t="s">
        <v>723</v>
      </c>
      <c r="I133" t="s">
        <v>27</v>
      </c>
      <c r="J133" t="s">
        <v>28</v>
      </c>
      <c r="K133" t="s">
        <v>724</v>
      </c>
      <c r="L133" t="s">
        <v>146</v>
      </c>
      <c r="M133" t="s">
        <v>347</v>
      </c>
      <c r="N133" t="s">
        <v>725</v>
      </c>
      <c r="O133" s="2">
        <v>743</v>
      </c>
      <c r="P133">
        <v>8</v>
      </c>
      <c r="Q133" s="3">
        <v>0.35</v>
      </c>
      <c r="R133" s="2">
        <v>-114.492</v>
      </c>
      <c r="S133" s="2">
        <v>55.15</v>
      </c>
      <c r="T133" t="s">
        <v>33</v>
      </c>
      <c r="U133">
        <v>2014</v>
      </c>
    </row>
    <row r="134" spans="1:21" x14ac:dyDescent="0.3">
      <c r="A134" t="s">
        <v>726</v>
      </c>
      <c r="B134" s="1">
        <v>40696</v>
      </c>
      <c r="C134" s="1">
        <v>40701</v>
      </c>
      <c r="D134" t="s">
        <v>45</v>
      </c>
      <c r="E134" t="s">
        <v>727</v>
      </c>
      <c r="F134" t="s">
        <v>54</v>
      </c>
      <c r="G134" t="s">
        <v>728</v>
      </c>
      <c r="H134" t="s">
        <v>87</v>
      </c>
      <c r="I134" t="s">
        <v>88</v>
      </c>
      <c r="J134" t="s">
        <v>88</v>
      </c>
      <c r="K134" t="s">
        <v>729</v>
      </c>
      <c r="L134" t="s">
        <v>59</v>
      </c>
      <c r="M134" t="s">
        <v>329</v>
      </c>
      <c r="N134" t="s">
        <v>730</v>
      </c>
      <c r="O134" s="2">
        <v>126</v>
      </c>
      <c r="P134">
        <v>1</v>
      </c>
      <c r="Q134" s="3">
        <v>0.6</v>
      </c>
      <c r="R134" s="2">
        <v>-161.11199999999999</v>
      </c>
      <c r="S134" s="2">
        <v>11.34</v>
      </c>
      <c r="T134" t="s">
        <v>33</v>
      </c>
      <c r="U134">
        <v>2011</v>
      </c>
    </row>
    <row r="135" spans="1:21" x14ac:dyDescent="0.3">
      <c r="A135" t="s">
        <v>674</v>
      </c>
      <c r="B135" s="1">
        <v>41092</v>
      </c>
      <c r="C135" s="1">
        <v>41096</v>
      </c>
      <c r="D135" t="s">
        <v>22</v>
      </c>
      <c r="E135" t="s">
        <v>675</v>
      </c>
      <c r="F135" t="s">
        <v>54</v>
      </c>
      <c r="G135" t="s">
        <v>158</v>
      </c>
      <c r="H135" t="s">
        <v>135</v>
      </c>
      <c r="I135" t="s">
        <v>136</v>
      </c>
      <c r="J135" t="s">
        <v>57</v>
      </c>
      <c r="K135" t="s">
        <v>731</v>
      </c>
      <c r="L135" t="s">
        <v>30</v>
      </c>
      <c r="M135" t="s">
        <v>66</v>
      </c>
      <c r="N135" t="s">
        <v>732</v>
      </c>
      <c r="O135" s="2">
        <v>436</v>
      </c>
      <c r="P135">
        <v>3</v>
      </c>
      <c r="Q135" s="3">
        <v>0.2</v>
      </c>
      <c r="R135" s="2">
        <v>48.994199999999999</v>
      </c>
      <c r="S135" s="2">
        <v>23.32</v>
      </c>
      <c r="T135" t="s">
        <v>33</v>
      </c>
      <c r="U135">
        <v>2012</v>
      </c>
    </row>
    <row r="136" spans="1:21" x14ac:dyDescent="0.3">
      <c r="A136" t="s">
        <v>733</v>
      </c>
      <c r="B136" s="1">
        <v>41324</v>
      </c>
      <c r="C136" s="1">
        <v>41328</v>
      </c>
      <c r="D136" t="s">
        <v>22</v>
      </c>
      <c r="E136" t="s">
        <v>473</v>
      </c>
      <c r="F136" t="s">
        <v>54</v>
      </c>
      <c r="G136" t="s">
        <v>734</v>
      </c>
      <c r="H136" t="s">
        <v>87</v>
      </c>
      <c r="I136" t="s">
        <v>88</v>
      </c>
      <c r="J136" t="s">
        <v>88</v>
      </c>
      <c r="K136" t="s">
        <v>735</v>
      </c>
      <c r="L136" t="s">
        <v>30</v>
      </c>
      <c r="M136" t="s">
        <v>66</v>
      </c>
      <c r="N136" t="s">
        <v>244</v>
      </c>
      <c r="O136" s="2">
        <v>14</v>
      </c>
      <c r="P136">
        <v>2</v>
      </c>
      <c r="Q136" s="3">
        <v>0.6</v>
      </c>
      <c r="R136" s="2">
        <v>-4.4160000000000004</v>
      </c>
      <c r="S136" s="2">
        <v>2.09</v>
      </c>
      <c r="T136" t="s">
        <v>99</v>
      </c>
      <c r="U136">
        <v>2013</v>
      </c>
    </row>
    <row r="137" spans="1:21" x14ac:dyDescent="0.3">
      <c r="A137" t="s">
        <v>736</v>
      </c>
      <c r="B137" s="1">
        <v>41692</v>
      </c>
      <c r="C137" s="1">
        <v>41697</v>
      </c>
      <c r="D137" t="s">
        <v>22</v>
      </c>
      <c r="E137" t="s">
        <v>737</v>
      </c>
      <c r="F137" t="s">
        <v>54</v>
      </c>
      <c r="G137" t="s">
        <v>569</v>
      </c>
      <c r="H137" t="s">
        <v>135</v>
      </c>
      <c r="I137" t="s">
        <v>136</v>
      </c>
      <c r="J137" t="s">
        <v>57</v>
      </c>
      <c r="K137" t="s">
        <v>738</v>
      </c>
      <c r="L137" t="s">
        <v>146</v>
      </c>
      <c r="M137" t="s">
        <v>271</v>
      </c>
      <c r="N137" t="s">
        <v>739</v>
      </c>
      <c r="O137" s="2">
        <v>48</v>
      </c>
      <c r="P137">
        <v>1</v>
      </c>
      <c r="Q137" s="3">
        <v>0.2</v>
      </c>
      <c r="R137" s="2">
        <v>-2.9940000000000002</v>
      </c>
      <c r="S137" s="2">
        <v>2.09</v>
      </c>
      <c r="T137" t="s">
        <v>33</v>
      </c>
      <c r="U137">
        <v>2014</v>
      </c>
    </row>
    <row r="138" spans="1:21" x14ac:dyDescent="0.3">
      <c r="A138" t="s">
        <v>740</v>
      </c>
      <c r="B138" s="1">
        <v>41698</v>
      </c>
      <c r="C138" s="1">
        <v>41702</v>
      </c>
      <c r="D138" t="s">
        <v>22</v>
      </c>
      <c r="E138" t="s">
        <v>741</v>
      </c>
      <c r="F138" t="s">
        <v>36</v>
      </c>
      <c r="G138" t="s">
        <v>742</v>
      </c>
      <c r="H138" t="s">
        <v>743</v>
      </c>
      <c r="I138" t="s">
        <v>88</v>
      </c>
      <c r="J138" t="s">
        <v>88</v>
      </c>
      <c r="K138" t="s">
        <v>744</v>
      </c>
      <c r="L138" t="s">
        <v>30</v>
      </c>
      <c r="M138" t="s">
        <v>66</v>
      </c>
      <c r="N138" t="s">
        <v>745</v>
      </c>
      <c r="O138" s="2">
        <v>373</v>
      </c>
      <c r="P138">
        <v>6</v>
      </c>
      <c r="Q138" s="3">
        <v>0</v>
      </c>
      <c r="R138" s="2">
        <v>149.04</v>
      </c>
      <c r="S138" s="2">
        <v>37.479999999999997</v>
      </c>
      <c r="T138" t="s">
        <v>33</v>
      </c>
      <c r="U138">
        <v>2014</v>
      </c>
    </row>
    <row r="139" spans="1:21" x14ac:dyDescent="0.3">
      <c r="A139" t="s">
        <v>746</v>
      </c>
      <c r="B139" s="1">
        <v>41731</v>
      </c>
      <c r="C139" s="1">
        <v>41736</v>
      </c>
      <c r="D139" t="s">
        <v>22</v>
      </c>
      <c r="E139" t="s">
        <v>747</v>
      </c>
      <c r="F139" t="s">
        <v>54</v>
      </c>
      <c r="G139" t="s">
        <v>708</v>
      </c>
      <c r="H139" t="s">
        <v>103</v>
      </c>
      <c r="I139" t="s">
        <v>39</v>
      </c>
      <c r="J139" t="s">
        <v>57</v>
      </c>
      <c r="K139" t="s">
        <v>748</v>
      </c>
      <c r="L139" t="s">
        <v>30</v>
      </c>
      <c r="M139" t="s">
        <v>66</v>
      </c>
      <c r="N139" t="s">
        <v>749</v>
      </c>
      <c r="O139" s="2">
        <v>35</v>
      </c>
      <c r="P139">
        <v>5</v>
      </c>
      <c r="Q139" s="3">
        <v>0.4</v>
      </c>
      <c r="R139" s="2">
        <v>4.04</v>
      </c>
      <c r="S139" s="2">
        <v>3.82</v>
      </c>
      <c r="T139" t="s">
        <v>99</v>
      </c>
      <c r="U139">
        <v>2014</v>
      </c>
    </row>
    <row r="140" spans="1:21" x14ac:dyDescent="0.3">
      <c r="A140" t="s">
        <v>750</v>
      </c>
      <c r="B140" s="1">
        <v>41822</v>
      </c>
      <c r="C140" s="1">
        <v>41826</v>
      </c>
      <c r="D140" t="s">
        <v>22</v>
      </c>
      <c r="E140" t="s">
        <v>751</v>
      </c>
      <c r="F140" t="s">
        <v>54</v>
      </c>
      <c r="G140" t="s">
        <v>337</v>
      </c>
      <c r="H140" t="s">
        <v>316</v>
      </c>
      <c r="I140" t="s">
        <v>27</v>
      </c>
      <c r="J140" t="s">
        <v>212</v>
      </c>
      <c r="K140" t="s">
        <v>752</v>
      </c>
      <c r="L140" t="s">
        <v>146</v>
      </c>
      <c r="M140" t="s">
        <v>271</v>
      </c>
      <c r="N140" t="s">
        <v>753</v>
      </c>
      <c r="O140" s="2">
        <v>162</v>
      </c>
      <c r="P140">
        <v>4</v>
      </c>
      <c r="Q140" s="3">
        <v>0</v>
      </c>
      <c r="R140" s="2">
        <v>38.880000000000003</v>
      </c>
      <c r="S140" s="2">
        <v>17.600000000000001</v>
      </c>
      <c r="T140" t="s">
        <v>33</v>
      </c>
      <c r="U140">
        <v>2014</v>
      </c>
    </row>
    <row r="141" spans="1:21" x14ac:dyDescent="0.3">
      <c r="A141" t="s">
        <v>657</v>
      </c>
      <c r="B141" s="1">
        <v>41457</v>
      </c>
      <c r="C141" s="1">
        <v>41457</v>
      </c>
      <c r="D141" t="s">
        <v>232</v>
      </c>
      <c r="E141" t="s">
        <v>473</v>
      </c>
      <c r="F141" t="s">
        <v>54</v>
      </c>
      <c r="G141" t="s">
        <v>86</v>
      </c>
      <c r="H141" t="s">
        <v>87</v>
      </c>
      <c r="I141" t="s">
        <v>88</v>
      </c>
      <c r="J141" t="s">
        <v>88</v>
      </c>
      <c r="K141" t="s">
        <v>754</v>
      </c>
      <c r="L141" t="s">
        <v>30</v>
      </c>
      <c r="M141" t="s">
        <v>31</v>
      </c>
      <c r="N141" t="s">
        <v>755</v>
      </c>
      <c r="O141" s="2">
        <v>33</v>
      </c>
      <c r="P141">
        <v>6</v>
      </c>
      <c r="Q141" s="3">
        <v>0.6</v>
      </c>
      <c r="R141" s="2">
        <v>-19.187999999999999</v>
      </c>
      <c r="S141" s="2">
        <v>3.57</v>
      </c>
      <c r="T141" t="s">
        <v>68</v>
      </c>
      <c r="U141">
        <v>2013</v>
      </c>
    </row>
    <row r="142" spans="1:21" x14ac:dyDescent="0.3">
      <c r="A142" t="s">
        <v>756</v>
      </c>
      <c r="B142" s="1">
        <v>41914</v>
      </c>
      <c r="C142" s="1">
        <v>41914</v>
      </c>
      <c r="D142" t="s">
        <v>232</v>
      </c>
      <c r="E142" t="s">
        <v>757</v>
      </c>
      <c r="F142" t="s">
        <v>36</v>
      </c>
      <c r="G142" t="s">
        <v>758</v>
      </c>
      <c r="H142" t="s">
        <v>144</v>
      </c>
      <c r="I142" t="s">
        <v>117</v>
      </c>
      <c r="J142" t="s">
        <v>117</v>
      </c>
      <c r="K142" t="s">
        <v>759</v>
      </c>
      <c r="L142" t="s">
        <v>30</v>
      </c>
      <c r="M142" t="s">
        <v>75</v>
      </c>
      <c r="N142" t="s">
        <v>760</v>
      </c>
      <c r="O142" s="2">
        <v>20</v>
      </c>
      <c r="P142">
        <v>6</v>
      </c>
      <c r="Q142" s="3">
        <v>0.7</v>
      </c>
      <c r="R142" s="2">
        <v>-17.135999999999999</v>
      </c>
      <c r="S142" s="2">
        <v>1.1499999999999999</v>
      </c>
      <c r="T142" t="s">
        <v>33</v>
      </c>
      <c r="U142">
        <v>2014</v>
      </c>
    </row>
    <row r="143" spans="1:21" x14ac:dyDescent="0.3">
      <c r="A143" t="s">
        <v>761</v>
      </c>
      <c r="B143" s="1">
        <v>41684</v>
      </c>
      <c r="C143" s="1">
        <v>41691</v>
      </c>
      <c r="D143" t="s">
        <v>22</v>
      </c>
      <c r="E143" t="s">
        <v>762</v>
      </c>
      <c r="F143" t="s">
        <v>54</v>
      </c>
      <c r="G143" t="s">
        <v>763</v>
      </c>
      <c r="H143" t="s">
        <v>135</v>
      </c>
      <c r="I143" t="s">
        <v>136</v>
      </c>
      <c r="J143" t="s">
        <v>396</v>
      </c>
      <c r="K143" t="s">
        <v>764</v>
      </c>
      <c r="L143" t="s">
        <v>30</v>
      </c>
      <c r="M143" t="s">
        <v>370</v>
      </c>
      <c r="N143" t="s">
        <v>765</v>
      </c>
      <c r="O143" s="2">
        <v>25</v>
      </c>
      <c r="P143">
        <v>3</v>
      </c>
      <c r="Q143" s="3">
        <v>0</v>
      </c>
      <c r="R143" s="2">
        <v>6.5052000000000003</v>
      </c>
      <c r="S143" s="2">
        <v>2.6</v>
      </c>
      <c r="T143" t="s">
        <v>33</v>
      </c>
      <c r="U143">
        <v>2014</v>
      </c>
    </row>
    <row r="144" spans="1:21" x14ac:dyDescent="0.3">
      <c r="A144" t="s">
        <v>766</v>
      </c>
      <c r="B144" s="1">
        <v>41683</v>
      </c>
      <c r="C144" s="1">
        <v>41689</v>
      </c>
      <c r="D144" t="s">
        <v>22</v>
      </c>
      <c r="E144" t="s">
        <v>767</v>
      </c>
      <c r="F144" t="s">
        <v>54</v>
      </c>
      <c r="G144" t="s">
        <v>315</v>
      </c>
      <c r="H144" t="s">
        <v>316</v>
      </c>
      <c r="I144" t="s">
        <v>27</v>
      </c>
      <c r="J144" t="s">
        <v>212</v>
      </c>
      <c r="K144" t="s">
        <v>768</v>
      </c>
      <c r="L144" t="s">
        <v>146</v>
      </c>
      <c r="M144" t="s">
        <v>271</v>
      </c>
      <c r="N144" t="s">
        <v>769</v>
      </c>
      <c r="O144" s="2">
        <v>195</v>
      </c>
      <c r="P144">
        <v>6</v>
      </c>
      <c r="Q144" s="3">
        <v>0.1</v>
      </c>
      <c r="R144" s="2">
        <v>36.828000000000003</v>
      </c>
      <c r="S144" s="2">
        <v>12.18</v>
      </c>
      <c r="T144" t="s">
        <v>33</v>
      </c>
      <c r="U144">
        <v>2014</v>
      </c>
    </row>
    <row r="145" spans="1:21" x14ac:dyDescent="0.3">
      <c r="A145" t="s">
        <v>770</v>
      </c>
      <c r="B145" s="1">
        <v>40788</v>
      </c>
      <c r="C145" s="1">
        <v>40791</v>
      </c>
      <c r="D145" t="s">
        <v>84</v>
      </c>
      <c r="E145" t="s">
        <v>771</v>
      </c>
      <c r="F145" t="s">
        <v>54</v>
      </c>
      <c r="G145" t="s">
        <v>395</v>
      </c>
      <c r="H145" t="s">
        <v>135</v>
      </c>
      <c r="I145" t="s">
        <v>136</v>
      </c>
      <c r="J145" t="s">
        <v>396</v>
      </c>
      <c r="K145" t="s">
        <v>772</v>
      </c>
      <c r="L145" t="s">
        <v>59</v>
      </c>
      <c r="M145" t="s">
        <v>60</v>
      </c>
      <c r="N145" t="s">
        <v>773</v>
      </c>
      <c r="O145" s="2">
        <v>71</v>
      </c>
      <c r="P145">
        <v>1</v>
      </c>
      <c r="Q145" s="3">
        <v>0</v>
      </c>
      <c r="R145" s="2">
        <v>4.9497</v>
      </c>
      <c r="S145" s="2">
        <v>12.46</v>
      </c>
      <c r="T145" t="s">
        <v>99</v>
      </c>
      <c r="U145">
        <v>2011</v>
      </c>
    </row>
    <row r="146" spans="1:21" x14ac:dyDescent="0.3">
      <c r="A146" t="s">
        <v>774</v>
      </c>
      <c r="B146" s="1">
        <v>41610</v>
      </c>
      <c r="C146" s="1">
        <v>41613</v>
      </c>
      <c r="D146" t="s">
        <v>84</v>
      </c>
      <c r="E146" t="s">
        <v>497</v>
      </c>
      <c r="F146" t="s">
        <v>36</v>
      </c>
      <c r="G146" t="s">
        <v>775</v>
      </c>
      <c r="H146" t="s">
        <v>26</v>
      </c>
      <c r="I146" t="s">
        <v>27</v>
      </c>
      <c r="J146" t="s">
        <v>28</v>
      </c>
      <c r="K146" t="s">
        <v>776</v>
      </c>
      <c r="L146" t="s">
        <v>146</v>
      </c>
      <c r="M146" t="s">
        <v>271</v>
      </c>
      <c r="N146" t="s">
        <v>777</v>
      </c>
      <c r="O146" s="2">
        <v>137</v>
      </c>
      <c r="P146">
        <v>1</v>
      </c>
      <c r="Q146" s="3">
        <v>0.47</v>
      </c>
      <c r="R146" s="2">
        <v>-74.779499999999999</v>
      </c>
      <c r="S146" s="2">
        <v>32.28</v>
      </c>
      <c r="T146" t="s">
        <v>68</v>
      </c>
      <c r="U146">
        <v>2013</v>
      </c>
    </row>
    <row r="147" spans="1:21" x14ac:dyDescent="0.3">
      <c r="A147" t="s">
        <v>778</v>
      </c>
      <c r="B147" s="1">
        <v>41975</v>
      </c>
      <c r="C147" s="1">
        <v>41979</v>
      </c>
      <c r="D147" t="s">
        <v>22</v>
      </c>
      <c r="E147" t="s">
        <v>779</v>
      </c>
      <c r="F147" t="s">
        <v>54</v>
      </c>
      <c r="G147" t="s">
        <v>780</v>
      </c>
      <c r="H147" t="s">
        <v>135</v>
      </c>
      <c r="I147" t="s">
        <v>136</v>
      </c>
      <c r="J147" t="s">
        <v>137</v>
      </c>
      <c r="K147" t="s">
        <v>781</v>
      </c>
      <c r="L147" t="s">
        <v>146</v>
      </c>
      <c r="M147" t="s">
        <v>147</v>
      </c>
      <c r="N147" t="s">
        <v>782</v>
      </c>
      <c r="O147" s="2">
        <v>406</v>
      </c>
      <c r="P147">
        <v>4</v>
      </c>
      <c r="Q147" s="3">
        <v>0.2</v>
      </c>
      <c r="R147" s="2">
        <v>30.477599999999999</v>
      </c>
      <c r="S147" s="2">
        <v>33.64</v>
      </c>
      <c r="T147" t="s">
        <v>33</v>
      </c>
      <c r="U147">
        <v>2014</v>
      </c>
    </row>
    <row r="148" spans="1:21" x14ac:dyDescent="0.3">
      <c r="A148" t="s">
        <v>783</v>
      </c>
      <c r="B148" s="1">
        <v>41610</v>
      </c>
      <c r="C148" s="1">
        <v>41612</v>
      </c>
      <c r="D148" t="s">
        <v>84</v>
      </c>
      <c r="E148" t="s">
        <v>784</v>
      </c>
      <c r="F148" t="s">
        <v>24</v>
      </c>
      <c r="G148" t="s">
        <v>785</v>
      </c>
      <c r="H148" t="s">
        <v>152</v>
      </c>
      <c r="I148" t="s">
        <v>27</v>
      </c>
      <c r="J148" t="s">
        <v>153</v>
      </c>
      <c r="K148" t="s">
        <v>786</v>
      </c>
      <c r="L148" t="s">
        <v>30</v>
      </c>
      <c r="M148" t="s">
        <v>105</v>
      </c>
      <c r="N148" t="s">
        <v>787</v>
      </c>
      <c r="O148" s="2">
        <v>51</v>
      </c>
      <c r="P148">
        <v>3</v>
      </c>
      <c r="Q148" s="3">
        <v>0</v>
      </c>
      <c r="R148" s="2">
        <v>17.28</v>
      </c>
      <c r="S148" s="2">
        <v>12.95</v>
      </c>
      <c r="T148" t="s">
        <v>99</v>
      </c>
      <c r="U148">
        <v>2013</v>
      </c>
    </row>
    <row r="149" spans="1:21" x14ac:dyDescent="0.3">
      <c r="A149" t="s">
        <v>788</v>
      </c>
      <c r="B149" s="1">
        <v>40589</v>
      </c>
      <c r="C149" s="1">
        <v>40590</v>
      </c>
      <c r="D149" t="s">
        <v>84</v>
      </c>
      <c r="E149" t="s">
        <v>789</v>
      </c>
      <c r="F149" t="s">
        <v>36</v>
      </c>
      <c r="G149" t="s">
        <v>790</v>
      </c>
      <c r="H149" t="s">
        <v>791</v>
      </c>
      <c r="I149" t="s">
        <v>117</v>
      </c>
      <c r="J149" t="s">
        <v>117</v>
      </c>
      <c r="K149" t="s">
        <v>792</v>
      </c>
      <c r="L149" t="s">
        <v>30</v>
      </c>
      <c r="M149" t="s">
        <v>66</v>
      </c>
      <c r="N149" t="s">
        <v>793</v>
      </c>
      <c r="O149" s="2">
        <v>2785</v>
      </c>
      <c r="P149">
        <v>14</v>
      </c>
      <c r="Q149" s="3">
        <v>0</v>
      </c>
      <c r="R149" s="2">
        <v>779.52</v>
      </c>
      <c r="S149" s="2">
        <v>422.25</v>
      </c>
      <c r="T149" t="s">
        <v>68</v>
      </c>
      <c r="U149">
        <v>2011</v>
      </c>
    </row>
    <row r="150" spans="1:21" x14ac:dyDescent="0.3">
      <c r="A150" t="s">
        <v>794</v>
      </c>
      <c r="B150" s="1">
        <v>41366</v>
      </c>
      <c r="C150" s="1">
        <v>41371</v>
      </c>
      <c r="D150" t="s">
        <v>22</v>
      </c>
      <c r="E150" t="s">
        <v>795</v>
      </c>
      <c r="F150" t="s">
        <v>24</v>
      </c>
      <c r="G150" t="s">
        <v>64</v>
      </c>
      <c r="H150" t="s">
        <v>56</v>
      </c>
      <c r="I150" t="s">
        <v>49</v>
      </c>
      <c r="J150" t="s">
        <v>57</v>
      </c>
      <c r="K150" t="s">
        <v>796</v>
      </c>
      <c r="L150" t="s">
        <v>30</v>
      </c>
      <c r="M150" t="s">
        <v>42</v>
      </c>
      <c r="N150" t="s">
        <v>797</v>
      </c>
      <c r="O150" s="2">
        <v>1339</v>
      </c>
      <c r="P150">
        <v>3</v>
      </c>
      <c r="Q150" s="3">
        <v>0.1</v>
      </c>
      <c r="R150" s="2">
        <v>223.23599999999999</v>
      </c>
      <c r="S150" s="2">
        <v>50.42</v>
      </c>
      <c r="T150" t="s">
        <v>33</v>
      </c>
      <c r="U150">
        <v>2013</v>
      </c>
    </row>
    <row r="151" spans="1:21" x14ac:dyDescent="0.3">
      <c r="A151" t="s">
        <v>798</v>
      </c>
      <c r="B151" s="1">
        <v>41700</v>
      </c>
      <c r="C151" s="1">
        <v>41705</v>
      </c>
      <c r="D151" t="s">
        <v>22</v>
      </c>
      <c r="E151" t="s">
        <v>799</v>
      </c>
      <c r="F151" t="s">
        <v>24</v>
      </c>
      <c r="G151" t="s">
        <v>800</v>
      </c>
      <c r="H151" t="s">
        <v>801</v>
      </c>
      <c r="I151" t="s">
        <v>117</v>
      </c>
      <c r="J151" t="s">
        <v>117</v>
      </c>
      <c r="K151" t="s">
        <v>802</v>
      </c>
      <c r="L151" t="s">
        <v>30</v>
      </c>
      <c r="M151" t="s">
        <v>90</v>
      </c>
      <c r="N151" t="s">
        <v>803</v>
      </c>
      <c r="O151" s="2">
        <v>44</v>
      </c>
      <c r="P151">
        <v>1</v>
      </c>
      <c r="Q151" s="3">
        <v>0</v>
      </c>
      <c r="R151" s="2">
        <v>14.64</v>
      </c>
      <c r="S151" s="2">
        <v>1.5</v>
      </c>
      <c r="T151" t="s">
        <v>33</v>
      </c>
      <c r="U151">
        <v>2014</v>
      </c>
    </row>
    <row r="152" spans="1:21" x14ac:dyDescent="0.3">
      <c r="A152" t="s">
        <v>804</v>
      </c>
      <c r="B152" s="1">
        <v>41792</v>
      </c>
      <c r="C152" s="1">
        <v>41794</v>
      </c>
      <c r="D152" t="s">
        <v>45</v>
      </c>
      <c r="E152" t="s">
        <v>805</v>
      </c>
      <c r="F152" t="s">
        <v>24</v>
      </c>
      <c r="G152" t="s">
        <v>806</v>
      </c>
      <c r="H152" t="s">
        <v>135</v>
      </c>
      <c r="I152" t="s">
        <v>136</v>
      </c>
      <c r="J152" t="s">
        <v>57</v>
      </c>
      <c r="K152" t="s">
        <v>807</v>
      </c>
      <c r="L152" t="s">
        <v>30</v>
      </c>
      <c r="M152" t="s">
        <v>42</v>
      </c>
      <c r="N152" t="s">
        <v>808</v>
      </c>
      <c r="O152" s="2">
        <v>2405</v>
      </c>
      <c r="P152">
        <v>8</v>
      </c>
      <c r="Q152" s="3">
        <v>0</v>
      </c>
      <c r="R152" s="2">
        <v>793.71600000000001</v>
      </c>
      <c r="S152" s="2">
        <v>252</v>
      </c>
      <c r="T152" t="s">
        <v>99</v>
      </c>
      <c r="U152">
        <v>2014</v>
      </c>
    </row>
    <row r="153" spans="1:21" x14ac:dyDescent="0.3">
      <c r="A153" t="s">
        <v>809</v>
      </c>
      <c r="B153" s="1">
        <v>40788</v>
      </c>
      <c r="C153" s="1">
        <v>40793</v>
      </c>
      <c r="D153" t="s">
        <v>22</v>
      </c>
      <c r="E153" t="s">
        <v>133</v>
      </c>
      <c r="F153" t="s">
        <v>36</v>
      </c>
      <c r="G153" t="s">
        <v>810</v>
      </c>
      <c r="H153" t="s">
        <v>811</v>
      </c>
      <c r="I153" t="s">
        <v>88</v>
      </c>
      <c r="J153" t="s">
        <v>88</v>
      </c>
      <c r="K153" t="s">
        <v>812</v>
      </c>
      <c r="L153" t="s">
        <v>59</v>
      </c>
      <c r="M153" t="s">
        <v>60</v>
      </c>
      <c r="N153" t="s">
        <v>813</v>
      </c>
      <c r="O153" s="2">
        <v>98</v>
      </c>
      <c r="P153">
        <v>2</v>
      </c>
      <c r="Q153" s="3">
        <v>0</v>
      </c>
      <c r="R153" s="2">
        <v>4.8600000000000003</v>
      </c>
      <c r="S153" s="2">
        <v>7.01</v>
      </c>
      <c r="T153" t="s">
        <v>33</v>
      </c>
      <c r="U153">
        <v>2011</v>
      </c>
    </row>
    <row r="154" spans="1:21" x14ac:dyDescent="0.3">
      <c r="A154" t="s">
        <v>814</v>
      </c>
      <c r="B154" s="1">
        <v>41697</v>
      </c>
      <c r="C154" s="1">
        <v>41699</v>
      </c>
      <c r="D154" t="s">
        <v>45</v>
      </c>
      <c r="E154" t="s">
        <v>815</v>
      </c>
      <c r="F154" t="s">
        <v>24</v>
      </c>
      <c r="G154" t="s">
        <v>816</v>
      </c>
      <c r="H154" t="s">
        <v>817</v>
      </c>
      <c r="I154" t="s">
        <v>88</v>
      </c>
      <c r="J154" t="s">
        <v>88</v>
      </c>
      <c r="K154" t="s">
        <v>818</v>
      </c>
      <c r="L154" t="s">
        <v>30</v>
      </c>
      <c r="M154" t="s">
        <v>42</v>
      </c>
      <c r="N154" t="s">
        <v>819</v>
      </c>
      <c r="O154" s="2">
        <v>568</v>
      </c>
      <c r="P154">
        <v>1</v>
      </c>
      <c r="Q154" s="3">
        <v>0</v>
      </c>
      <c r="R154" s="2">
        <v>45.42</v>
      </c>
      <c r="S154" s="2">
        <v>39.15</v>
      </c>
      <c r="T154" t="s">
        <v>33</v>
      </c>
      <c r="U154">
        <v>2014</v>
      </c>
    </row>
    <row r="155" spans="1:21" x14ac:dyDescent="0.3">
      <c r="A155" t="s">
        <v>820</v>
      </c>
      <c r="B155" s="1">
        <v>41324</v>
      </c>
      <c r="C155" s="1">
        <v>41328</v>
      </c>
      <c r="D155" t="s">
        <v>22</v>
      </c>
      <c r="E155" t="s">
        <v>821</v>
      </c>
      <c r="F155" t="s">
        <v>24</v>
      </c>
      <c r="G155" t="s">
        <v>822</v>
      </c>
      <c r="H155" t="s">
        <v>235</v>
      </c>
      <c r="I155" t="s">
        <v>39</v>
      </c>
      <c r="J155" t="s">
        <v>236</v>
      </c>
      <c r="K155" t="s">
        <v>823</v>
      </c>
      <c r="L155" t="s">
        <v>59</v>
      </c>
      <c r="M155" t="s">
        <v>60</v>
      </c>
      <c r="N155" t="s">
        <v>824</v>
      </c>
      <c r="O155" s="2">
        <v>34</v>
      </c>
      <c r="P155">
        <v>4</v>
      </c>
      <c r="Q155" s="3">
        <v>0.5</v>
      </c>
      <c r="R155" s="2">
        <v>-10.199999999999999</v>
      </c>
      <c r="S155" s="2">
        <v>3.4</v>
      </c>
      <c r="T155" t="s">
        <v>33</v>
      </c>
      <c r="U155">
        <v>2013</v>
      </c>
    </row>
    <row r="156" spans="1:21" x14ac:dyDescent="0.3">
      <c r="A156" t="s">
        <v>825</v>
      </c>
      <c r="B156" s="1">
        <v>40696</v>
      </c>
      <c r="C156" s="1">
        <v>40701</v>
      </c>
      <c r="D156" t="s">
        <v>22</v>
      </c>
      <c r="E156" t="s">
        <v>826</v>
      </c>
      <c r="F156" t="s">
        <v>24</v>
      </c>
      <c r="G156" t="s">
        <v>827</v>
      </c>
      <c r="H156" t="s">
        <v>72</v>
      </c>
      <c r="I156" t="s">
        <v>27</v>
      </c>
      <c r="J156" t="s">
        <v>73</v>
      </c>
      <c r="K156" t="s">
        <v>243</v>
      </c>
      <c r="L156" t="s">
        <v>30</v>
      </c>
      <c r="M156" t="s">
        <v>66</v>
      </c>
      <c r="N156" t="s">
        <v>244</v>
      </c>
      <c r="O156" s="2">
        <v>51</v>
      </c>
      <c r="P156">
        <v>3</v>
      </c>
      <c r="Q156" s="3">
        <v>0</v>
      </c>
      <c r="R156" s="2">
        <v>7.56</v>
      </c>
      <c r="S156" s="2">
        <v>3.21</v>
      </c>
      <c r="T156" t="s">
        <v>33</v>
      </c>
      <c r="U156">
        <v>2011</v>
      </c>
    </row>
    <row r="157" spans="1:21" x14ac:dyDescent="0.3">
      <c r="A157" t="s">
        <v>828</v>
      </c>
      <c r="B157" s="1">
        <v>40910</v>
      </c>
      <c r="C157" s="1">
        <v>40915</v>
      </c>
      <c r="D157" t="s">
        <v>22</v>
      </c>
      <c r="E157" t="s">
        <v>829</v>
      </c>
      <c r="F157" t="s">
        <v>36</v>
      </c>
      <c r="G157" t="s">
        <v>830</v>
      </c>
      <c r="H157" t="s">
        <v>72</v>
      </c>
      <c r="I157" t="s">
        <v>27</v>
      </c>
      <c r="J157" t="s">
        <v>73</v>
      </c>
      <c r="K157" t="s">
        <v>831</v>
      </c>
      <c r="L157" t="s">
        <v>146</v>
      </c>
      <c r="M157" t="s">
        <v>271</v>
      </c>
      <c r="N157" t="s">
        <v>832</v>
      </c>
      <c r="O157" s="2">
        <v>245</v>
      </c>
      <c r="P157">
        <v>9</v>
      </c>
      <c r="Q157" s="3">
        <v>0</v>
      </c>
      <c r="R157" s="2">
        <v>65.88</v>
      </c>
      <c r="S157" s="2">
        <v>24.56</v>
      </c>
      <c r="T157" t="s">
        <v>99</v>
      </c>
      <c r="U157">
        <v>2012</v>
      </c>
    </row>
    <row r="158" spans="1:21" x14ac:dyDescent="0.3">
      <c r="A158" t="s">
        <v>833</v>
      </c>
      <c r="B158" s="1">
        <v>41331</v>
      </c>
      <c r="C158" s="1">
        <v>41331</v>
      </c>
      <c r="D158" t="s">
        <v>232</v>
      </c>
      <c r="E158" t="s">
        <v>834</v>
      </c>
      <c r="F158" t="s">
        <v>24</v>
      </c>
      <c r="G158" t="s">
        <v>223</v>
      </c>
      <c r="H158" t="s">
        <v>224</v>
      </c>
      <c r="I158" t="s">
        <v>49</v>
      </c>
      <c r="J158" t="s">
        <v>40</v>
      </c>
      <c r="K158" t="s">
        <v>835</v>
      </c>
      <c r="L158" t="s">
        <v>59</v>
      </c>
      <c r="M158" t="s">
        <v>60</v>
      </c>
      <c r="N158" t="s">
        <v>836</v>
      </c>
      <c r="O158" s="2">
        <v>439</v>
      </c>
      <c r="P158">
        <v>9</v>
      </c>
      <c r="Q158" s="3">
        <v>0</v>
      </c>
      <c r="R158" s="2">
        <v>219.51</v>
      </c>
      <c r="S158" s="2">
        <v>67.44</v>
      </c>
      <c r="T158" t="s">
        <v>99</v>
      </c>
      <c r="U158">
        <v>2013</v>
      </c>
    </row>
    <row r="159" spans="1:21" x14ac:dyDescent="0.3">
      <c r="A159" t="s">
        <v>837</v>
      </c>
      <c r="B159" s="1">
        <v>40970</v>
      </c>
      <c r="C159" s="1">
        <v>40975</v>
      </c>
      <c r="D159" t="s">
        <v>22</v>
      </c>
      <c r="E159" t="s">
        <v>838</v>
      </c>
      <c r="F159" t="s">
        <v>54</v>
      </c>
      <c r="G159" t="s">
        <v>127</v>
      </c>
      <c r="H159" t="s">
        <v>128</v>
      </c>
      <c r="I159" t="s">
        <v>49</v>
      </c>
      <c r="J159" t="s">
        <v>129</v>
      </c>
      <c r="K159" t="s">
        <v>839</v>
      </c>
      <c r="L159" t="s">
        <v>30</v>
      </c>
      <c r="M159" t="s">
        <v>31</v>
      </c>
      <c r="N159" t="s">
        <v>840</v>
      </c>
      <c r="O159" s="2">
        <v>98</v>
      </c>
      <c r="P159">
        <v>4</v>
      </c>
      <c r="Q159" s="3">
        <v>0.5</v>
      </c>
      <c r="R159" s="2">
        <v>-27.48</v>
      </c>
      <c r="S159" s="2">
        <v>7.92</v>
      </c>
      <c r="T159" t="s">
        <v>33</v>
      </c>
      <c r="U159">
        <v>2012</v>
      </c>
    </row>
    <row r="160" spans="1:21" x14ac:dyDescent="0.3">
      <c r="A160" t="s">
        <v>841</v>
      </c>
      <c r="B160" s="1">
        <v>41884</v>
      </c>
      <c r="C160" s="1">
        <v>41889</v>
      </c>
      <c r="D160" t="s">
        <v>22</v>
      </c>
      <c r="E160" t="s">
        <v>842</v>
      </c>
      <c r="F160" t="s">
        <v>54</v>
      </c>
      <c r="G160" t="s">
        <v>843</v>
      </c>
      <c r="H160" t="s">
        <v>844</v>
      </c>
      <c r="I160" t="s">
        <v>39</v>
      </c>
      <c r="J160" t="s">
        <v>57</v>
      </c>
      <c r="K160" t="s">
        <v>845</v>
      </c>
      <c r="L160" t="s">
        <v>146</v>
      </c>
      <c r="M160" t="s">
        <v>347</v>
      </c>
      <c r="N160" t="s">
        <v>846</v>
      </c>
      <c r="O160" s="2">
        <v>166</v>
      </c>
      <c r="P160">
        <v>2</v>
      </c>
      <c r="Q160" s="3">
        <v>2E-3</v>
      </c>
      <c r="R160" s="2">
        <v>49.428240000000002</v>
      </c>
      <c r="S160" s="2">
        <v>6.34</v>
      </c>
      <c r="T160" t="s">
        <v>99</v>
      </c>
      <c r="U160">
        <v>2014</v>
      </c>
    </row>
    <row r="161" spans="1:21" x14ac:dyDescent="0.3">
      <c r="A161" t="s">
        <v>847</v>
      </c>
      <c r="B161" s="1">
        <v>40941</v>
      </c>
      <c r="C161" s="1">
        <v>40945</v>
      </c>
      <c r="D161" t="s">
        <v>22</v>
      </c>
      <c r="E161" t="s">
        <v>848</v>
      </c>
      <c r="F161" t="s">
        <v>54</v>
      </c>
      <c r="G161" t="s">
        <v>849</v>
      </c>
      <c r="H161" t="s">
        <v>205</v>
      </c>
      <c r="I161" t="s">
        <v>49</v>
      </c>
      <c r="J161" t="s">
        <v>57</v>
      </c>
      <c r="K161" t="s">
        <v>850</v>
      </c>
      <c r="L161" t="s">
        <v>146</v>
      </c>
      <c r="M161" t="s">
        <v>271</v>
      </c>
      <c r="N161" t="s">
        <v>851</v>
      </c>
      <c r="O161" s="2">
        <v>1779</v>
      </c>
      <c r="P161">
        <v>7</v>
      </c>
      <c r="Q161" s="3">
        <v>0</v>
      </c>
      <c r="R161" s="2">
        <v>711.48</v>
      </c>
      <c r="S161" s="2">
        <v>157.69</v>
      </c>
      <c r="T161" t="s">
        <v>99</v>
      </c>
      <c r="U161">
        <v>2012</v>
      </c>
    </row>
    <row r="162" spans="1:21" x14ac:dyDescent="0.3">
      <c r="A162" t="s">
        <v>852</v>
      </c>
      <c r="B162" s="1">
        <v>41853</v>
      </c>
      <c r="C162" s="1">
        <v>41856</v>
      </c>
      <c r="D162" t="s">
        <v>84</v>
      </c>
      <c r="E162" t="s">
        <v>853</v>
      </c>
      <c r="F162" t="s">
        <v>54</v>
      </c>
      <c r="G162" t="s">
        <v>854</v>
      </c>
      <c r="H162" t="s">
        <v>56</v>
      </c>
      <c r="I162" t="s">
        <v>49</v>
      </c>
      <c r="J162" t="s">
        <v>57</v>
      </c>
      <c r="K162" t="s">
        <v>855</v>
      </c>
      <c r="L162" t="s">
        <v>30</v>
      </c>
      <c r="M162" t="s">
        <v>105</v>
      </c>
      <c r="N162" t="s">
        <v>856</v>
      </c>
      <c r="O162" s="2">
        <v>109</v>
      </c>
      <c r="P162">
        <v>6</v>
      </c>
      <c r="Q162" s="3">
        <v>0</v>
      </c>
      <c r="R162" s="2">
        <v>34.56</v>
      </c>
      <c r="S162" s="2">
        <v>11.76</v>
      </c>
      <c r="T162" t="s">
        <v>33</v>
      </c>
      <c r="U162">
        <v>2014</v>
      </c>
    </row>
    <row r="163" spans="1:21" x14ac:dyDescent="0.3">
      <c r="A163" t="s">
        <v>857</v>
      </c>
      <c r="B163" s="1">
        <v>40757</v>
      </c>
      <c r="C163" s="1">
        <v>40759</v>
      </c>
      <c r="D163" t="s">
        <v>84</v>
      </c>
      <c r="E163" t="s">
        <v>858</v>
      </c>
      <c r="F163" t="s">
        <v>54</v>
      </c>
      <c r="G163" t="s">
        <v>199</v>
      </c>
      <c r="H163" t="s">
        <v>144</v>
      </c>
      <c r="I163" t="s">
        <v>117</v>
      </c>
      <c r="J163" t="s">
        <v>117</v>
      </c>
      <c r="K163" t="s">
        <v>859</v>
      </c>
      <c r="L163" t="s">
        <v>146</v>
      </c>
      <c r="M163" t="s">
        <v>347</v>
      </c>
      <c r="N163" t="s">
        <v>860</v>
      </c>
      <c r="O163" s="2">
        <v>178</v>
      </c>
      <c r="P163">
        <v>2</v>
      </c>
      <c r="Q163" s="3">
        <v>0.7</v>
      </c>
      <c r="R163" s="2">
        <v>-368.40600000000001</v>
      </c>
      <c r="S163" s="2">
        <v>62.43</v>
      </c>
      <c r="T163" t="s">
        <v>99</v>
      </c>
      <c r="U163">
        <v>2011</v>
      </c>
    </row>
    <row r="164" spans="1:21" x14ac:dyDescent="0.3">
      <c r="A164" t="s">
        <v>861</v>
      </c>
      <c r="B164" s="1">
        <v>41641</v>
      </c>
      <c r="C164" s="1">
        <v>41645</v>
      </c>
      <c r="D164" t="s">
        <v>22</v>
      </c>
      <c r="E164" t="s">
        <v>862</v>
      </c>
      <c r="F164" t="s">
        <v>54</v>
      </c>
      <c r="G164" t="s">
        <v>863</v>
      </c>
      <c r="H164" t="s">
        <v>152</v>
      </c>
      <c r="I164" t="s">
        <v>27</v>
      </c>
      <c r="J164" t="s">
        <v>153</v>
      </c>
      <c r="K164" t="s">
        <v>864</v>
      </c>
      <c r="L164" t="s">
        <v>30</v>
      </c>
      <c r="M164" t="s">
        <v>410</v>
      </c>
      <c r="N164" t="s">
        <v>865</v>
      </c>
      <c r="O164" s="2">
        <v>36</v>
      </c>
      <c r="P164">
        <v>1</v>
      </c>
      <c r="Q164" s="3">
        <v>0</v>
      </c>
      <c r="R164" s="2">
        <v>4.71</v>
      </c>
      <c r="S164" s="2">
        <v>1</v>
      </c>
      <c r="T164" t="s">
        <v>33</v>
      </c>
      <c r="U164">
        <v>2014</v>
      </c>
    </row>
    <row r="165" spans="1:21" x14ac:dyDescent="0.3">
      <c r="A165" t="s">
        <v>866</v>
      </c>
      <c r="B165" s="1">
        <v>41683</v>
      </c>
      <c r="C165" s="1">
        <v>41689</v>
      </c>
      <c r="D165" t="s">
        <v>22</v>
      </c>
      <c r="E165" t="s">
        <v>867</v>
      </c>
      <c r="F165" t="s">
        <v>54</v>
      </c>
      <c r="G165" t="s">
        <v>868</v>
      </c>
      <c r="H165" t="s">
        <v>869</v>
      </c>
      <c r="I165" t="s">
        <v>27</v>
      </c>
      <c r="J165" t="s">
        <v>28</v>
      </c>
      <c r="K165" t="s">
        <v>870</v>
      </c>
      <c r="L165" t="s">
        <v>146</v>
      </c>
      <c r="M165" t="s">
        <v>271</v>
      </c>
      <c r="N165" t="s">
        <v>871</v>
      </c>
      <c r="O165" s="2">
        <v>274</v>
      </c>
      <c r="P165">
        <v>9</v>
      </c>
      <c r="Q165" s="3">
        <v>0.47</v>
      </c>
      <c r="R165" s="2">
        <v>-67.354200000000006</v>
      </c>
      <c r="S165" s="2">
        <v>19.86</v>
      </c>
      <c r="T165" t="s">
        <v>33</v>
      </c>
      <c r="U165">
        <v>2014</v>
      </c>
    </row>
    <row r="166" spans="1:21" x14ac:dyDescent="0.3">
      <c r="A166" t="s">
        <v>872</v>
      </c>
      <c r="B166" s="1">
        <v>40589</v>
      </c>
      <c r="C166" s="1">
        <v>40594</v>
      </c>
      <c r="D166" t="s">
        <v>22</v>
      </c>
      <c r="E166" t="s">
        <v>873</v>
      </c>
      <c r="F166" t="s">
        <v>54</v>
      </c>
      <c r="G166" t="s">
        <v>874</v>
      </c>
      <c r="H166" t="s">
        <v>875</v>
      </c>
      <c r="I166" t="s">
        <v>117</v>
      </c>
      <c r="J166" t="s">
        <v>117</v>
      </c>
      <c r="K166" t="s">
        <v>876</v>
      </c>
      <c r="L166" t="s">
        <v>30</v>
      </c>
      <c r="M166" t="s">
        <v>105</v>
      </c>
      <c r="N166" t="s">
        <v>877</v>
      </c>
      <c r="O166" s="2">
        <v>95</v>
      </c>
      <c r="P166">
        <v>4</v>
      </c>
      <c r="Q166" s="3">
        <v>0</v>
      </c>
      <c r="R166" s="2">
        <v>9.48</v>
      </c>
      <c r="S166" s="2">
        <v>6.19</v>
      </c>
      <c r="T166" t="s">
        <v>33</v>
      </c>
      <c r="U166">
        <v>2011</v>
      </c>
    </row>
    <row r="167" spans="1:21" x14ac:dyDescent="0.3">
      <c r="A167" t="s">
        <v>878</v>
      </c>
      <c r="B167" s="1">
        <v>41427</v>
      </c>
      <c r="C167" s="1">
        <v>41432</v>
      </c>
      <c r="D167" t="s">
        <v>22</v>
      </c>
      <c r="E167" t="s">
        <v>879</v>
      </c>
      <c r="F167" t="s">
        <v>36</v>
      </c>
      <c r="G167" t="s">
        <v>880</v>
      </c>
      <c r="H167" t="s">
        <v>211</v>
      </c>
      <c r="I167" t="s">
        <v>27</v>
      </c>
      <c r="J167" t="s">
        <v>212</v>
      </c>
      <c r="K167" t="s">
        <v>881</v>
      </c>
      <c r="L167" t="s">
        <v>30</v>
      </c>
      <c r="M167" t="s">
        <v>75</v>
      </c>
      <c r="N167" t="s">
        <v>882</v>
      </c>
      <c r="O167" s="2">
        <v>31</v>
      </c>
      <c r="P167">
        <v>6</v>
      </c>
      <c r="Q167" s="3">
        <v>0.4</v>
      </c>
      <c r="R167" s="2">
        <v>-15.696</v>
      </c>
      <c r="S167" s="2">
        <v>2.42</v>
      </c>
      <c r="T167" t="s">
        <v>33</v>
      </c>
      <c r="U167">
        <v>2013</v>
      </c>
    </row>
    <row r="168" spans="1:21" x14ac:dyDescent="0.3">
      <c r="A168" t="s">
        <v>883</v>
      </c>
      <c r="B168" s="1">
        <v>41731</v>
      </c>
      <c r="C168" s="1">
        <v>41733</v>
      </c>
      <c r="D168" t="s">
        <v>45</v>
      </c>
      <c r="E168" t="s">
        <v>784</v>
      </c>
      <c r="F168" t="s">
        <v>24</v>
      </c>
      <c r="G168" t="s">
        <v>884</v>
      </c>
      <c r="H168" t="s">
        <v>654</v>
      </c>
      <c r="I168" t="s">
        <v>117</v>
      </c>
      <c r="J168" t="s">
        <v>117</v>
      </c>
      <c r="K168" t="s">
        <v>885</v>
      </c>
      <c r="L168" t="s">
        <v>30</v>
      </c>
      <c r="M168" t="s">
        <v>410</v>
      </c>
      <c r="N168" t="s">
        <v>886</v>
      </c>
      <c r="O168" s="2">
        <v>48</v>
      </c>
      <c r="P168">
        <v>1</v>
      </c>
      <c r="Q168" s="3">
        <v>0</v>
      </c>
      <c r="R168" s="2">
        <v>10.98</v>
      </c>
      <c r="S168" s="2">
        <v>3</v>
      </c>
      <c r="T168" t="s">
        <v>33</v>
      </c>
      <c r="U168">
        <v>2014</v>
      </c>
    </row>
    <row r="169" spans="1:21" x14ac:dyDescent="0.3">
      <c r="A169" t="s">
        <v>887</v>
      </c>
      <c r="B169" s="1">
        <v>41488</v>
      </c>
      <c r="C169" s="1">
        <v>41493</v>
      </c>
      <c r="D169" t="s">
        <v>22</v>
      </c>
      <c r="E169" t="s">
        <v>888</v>
      </c>
      <c r="F169" t="s">
        <v>24</v>
      </c>
      <c r="G169" t="s">
        <v>889</v>
      </c>
      <c r="H169" t="s">
        <v>26</v>
      </c>
      <c r="I169" t="s">
        <v>27</v>
      </c>
      <c r="J169" t="s">
        <v>28</v>
      </c>
      <c r="K169" t="s">
        <v>890</v>
      </c>
      <c r="L169" t="s">
        <v>30</v>
      </c>
      <c r="M169" t="s">
        <v>97</v>
      </c>
      <c r="N169" t="s">
        <v>891</v>
      </c>
      <c r="O169" s="2">
        <v>13</v>
      </c>
      <c r="P169">
        <v>2</v>
      </c>
      <c r="Q169" s="3">
        <v>0.47</v>
      </c>
      <c r="R169" s="2">
        <v>-10.111800000000001</v>
      </c>
      <c r="S169" s="2">
        <v>1.63</v>
      </c>
      <c r="T169" t="s">
        <v>99</v>
      </c>
      <c r="U169">
        <v>2013</v>
      </c>
    </row>
    <row r="170" spans="1:21" x14ac:dyDescent="0.3">
      <c r="A170" t="s">
        <v>892</v>
      </c>
      <c r="B170" s="1">
        <v>41716</v>
      </c>
      <c r="C170" s="1">
        <v>41720</v>
      </c>
      <c r="D170" t="s">
        <v>22</v>
      </c>
      <c r="E170" t="s">
        <v>547</v>
      </c>
      <c r="F170" t="s">
        <v>54</v>
      </c>
      <c r="G170" t="s">
        <v>893</v>
      </c>
      <c r="H170" t="s">
        <v>894</v>
      </c>
      <c r="I170" t="s">
        <v>117</v>
      </c>
      <c r="J170" t="s">
        <v>117</v>
      </c>
      <c r="K170" t="s">
        <v>895</v>
      </c>
      <c r="L170" t="s">
        <v>59</v>
      </c>
      <c r="M170" t="s">
        <v>139</v>
      </c>
      <c r="N170" t="s">
        <v>896</v>
      </c>
      <c r="O170" s="2">
        <v>62</v>
      </c>
      <c r="P170">
        <v>1</v>
      </c>
      <c r="Q170" s="3">
        <v>0</v>
      </c>
      <c r="R170" s="2">
        <v>13.68</v>
      </c>
      <c r="S170" s="2">
        <v>3.22</v>
      </c>
      <c r="T170" t="s">
        <v>33</v>
      </c>
      <c r="U170">
        <v>2014</v>
      </c>
    </row>
    <row r="171" spans="1:21" x14ac:dyDescent="0.3">
      <c r="A171" t="s">
        <v>897</v>
      </c>
      <c r="B171" s="1">
        <v>41915</v>
      </c>
      <c r="C171" s="1">
        <v>41919</v>
      </c>
      <c r="D171" t="s">
        <v>22</v>
      </c>
      <c r="E171" t="s">
        <v>898</v>
      </c>
      <c r="F171" t="s">
        <v>54</v>
      </c>
      <c r="G171" t="s">
        <v>790</v>
      </c>
      <c r="H171" t="s">
        <v>791</v>
      </c>
      <c r="I171" t="s">
        <v>117</v>
      </c>
      <c r="J171" t="s">
        <v>117</v>
      </c>
      <c r="K171" t="s">
        <v>899</v>
      </c>
      <c r="L171" t="s">
        <v>146</v>
      </c>
      <c r="M171" t="s">
        <v>347</v>
      </c>
      <c r="N171" t="s">
        <v>900</v>
      </c>
      <c r="O171" s="2">
        <v>1487</v>
      </c>
      <c r="P171">
        <v>10</v>
      </c>
      <c r="Q171" s="3">
        <v>0</v>
      </c>
      <c r="R171" s="2">
        <v>728.7</v>
      </c>
      <c r="S171" s="2">
        <v>202.49</v>
      </c>
      <c r="T171" t="s">
        <v>99</v>
      </c>
      <c r="U171">
        <v>2014</v>
      </c>
    </row>
    <row r="172" spans="1:21" x14ac:dyDescent="0.3">
      <c r="A172" t="s">
        <v>901</v>
      </c>
      <c r="B172" s="1">
        <v>41716</v>
      </c>
      <c r="C172" s="1">
        <v>41721</v>
      </c>
      <c r="D172" t="s">
        <v>45</v>
      </c>
      <c r="E172" t="s">
        <v>902</v>
      </c>
      <c r="F172" t="s">
        <v>54</v>
      </c>
      <c r="G172" t="s">
        <v>395</v>
      </c>
      <c r="H172" t="s">
        <v>135</v>
      </c>
      <c r="I172" t="s">
        <v>136</v>
      </c>
      <c r="J172" t="s">
        <v>396</v>
      </c>
      <c r="K172" t="s">
        <v>903</v>
      </c>
      <c r="L172" t="s">
        <v>30</v>
      </c>
      <c r="M172" t="s">
        <v>75</v>
      </c>
      <c r="N172" t="s">
        <v>904</v>
      </c>
      <c r="O172" s="2">
        <v>19</v>
      </c>
      <c r="P172">
        <v>5</v>
      </c>
      <c r="Q172" s="3">
        <v>0</v>
      </c>
      <c r="R172" s="2">
        <v>9</v>
      </c>
      <c r="S172" s="2">
        <v>1.04</v>
      </c>
      <c r="T172" t="s">
        <v>33</v>
      </c>
      <c r="U172">
        <v>2014</v>
      </c>
    </row>
    <row r="173" spans="1:21" x14ac:dyDescent="0.3">
      <c r="A173" t="s">
        <v>905</v>
      </c>
      <c r="B173" s="1">
        <v>40633</v>
      </c>
      <c r="C173" s="1">
        <v>40637</v>
      </c>
      <c r="D173" t="s">
        <v>22</v>
      </c>
      <c r="E173" t="s">
        <v>906</v>
      </c>
      <c r="F173" t="s">
        <v>54</v>
      </c>
      <c r="G173" t="s">
        <v>158</v>
      </c>
      <c r="H173" t="s">
        <v>135</v>
      </c>
      <c r="I173" t="s">
        <v>136</v>
      </c>
      <c r="J173" t="s">
        <v>57</v>
      </c>
      <c r="K173" t="s">
        <v>907</v>
      </c>
      <c r="L173" t="s">
        <v>146</v>
      </c>
      <c r="M173" t="s">
        <v>271</v>
      </c>
      <c r="N173" t="s">
        <v>908</v>
      </c>
      <c r="O173" s="2">
        <v>80</v>
      </c>
      <c r="P173">
        <v>2</v>
      </c>
      <c r="Q173" s="3">
        <v>0.2</v>
      </c>
      <c r="R173" s="2">
        <v>13.997199999999999</v>
      </c>
      <c r="S173" s="2">
        <v>9.0299999999999994</v>
      </c>
      <c r="T173" t="s">
        <v>99</v>
      </c>
      <c r="U173">
        <v>2011</v>
      </c>
    </row>
    <row r="174" spans="1:21" x14ac:dyDescent="0.3">
      <c r="A174" t="s">
        <v>909</v>
      </c>
      <c r="B174" s="1">
        <v>40984</v>
      </c>
      <c r="C174" s="1">
        <v>40989</v>
      </c>
      <c r="D174" t="s">
        <v>22</v>
      </c>
      <c r="E174" t="s">
        <v>309</v>
      </c>
      <c r="F174" t="s">
        <v>36</v>
      </c>
      <c r="G174" t="s">
        <v>64</v>
      </c>
      <c r="H174" t="s">
        <v>56</v>
      </c>
      <c r="I174" t="s">
        <v>49</v>
      </c>
      <c r="J174" t="s">
        <v>57</v>
      </c>
      <c r="K174" t="s">
        <v>910</v>
      </c>
      <c r="L174" t="s">
        <v>30</v>
      </c>
      <c r="M174" t="s">
        <v>370</v>
      </c>
      <c r="N174" t="s">
        <v>911</v>
      </c>
      <c r="O174" s="2">
        <v>32</v>
      </c>
      <c r="P174">
        <v>1</v>
      </c>
      <c r="Q174" s="3">
        <v>0</v>
      </c>
      <c r="R174" s="2">
        <v>8.91</v>
      </c>
      <c r="S174" s="2">
        <v>4.57</v>
      </c>
      <c r="T174" t="s">
        <v>99</v>
      </c>
      <c r="U174">
        <v>2012</v>
      </c>
    </row>
    <row r="175" spans="1:21" x14ac:dyDescent="0.3">
      <c r="A175" t="s">
        <v>912</v>
      </c>
      <c r="B175" s="1">
        <v>41358</v>
      </c>
      <c r="C175" s="1">
        <v>41361</v>
      </c>
      <c r="D175" t="s">
        <v>45</v>
      </c>
      <c r="E175" t="s">
        <v>913</v>
      </c>
      <c r="F175" t="s">
        <v>36</v>
      </c>
      <c r="G175" t="s">
        <v>880</v>
      </c>
      <c r="H175" t="s">
        <v>211</v>
      </c>
      <c r="I175" t="s">
        <v>27</v>
      </c>
      <c r="J175" t="s">
        <v>212</v>
      </c>
      <c r="K175" t="s">
        <v>914</v>
      </c>
      <c r="L175" t="s">
        <v>59</v>
      </c>
      <c r="M175" t="s">
        <v>329</v>
      </c>
      <c r="N175" t="s">
        <v>915</v>
      </c>
      <c r="O175" s="2">
        <v>635</v>
      </c>
      <c r="P175">
        <v>2</v>
      </c>
      <c r="Q175" s="3">
        <v>0.4</v>
      </c>
      <c r="R175" s="2">
        <v>-84.66</v>
      </c>
      <c r="S175" s="2">
        <v>71.349999999999994</v>
      </c>
      <c r="T175" t="s">
        <v>99</v>
      </c>
      <c r="U175">
        <v>2013</v>
      </c>
    </row>
    <row r="176" spans="1:21" x14ac:dyDescent="0.3">
      <c r="A176" t="s">
        <v>916</v>
      </c>
      <c r="B176" s="1">
        <v>41885</v>
      </c>
      <c r="C176" s="1">
        <v>41887</v>
      </c>
      <c r="D176" t="s">
        <v>45</v>
      </c>
      <c r="E176" t="s">
        <v>917</v>
      </c>
      <c r="F176" t="s">
        <v>54</v>
      </c>
      <c r="G176" t="s">
        <v>918</v>
      </c>
      <c r="H176" t="s">
        <v>791</v>
      </c>
      <c r="I176" t="s">
        <v>117</v>
      </c>
      <c r="J176" t="s">
        <v>117</v>
      </c>
      <c r="K176" t="s">
        <v>919</v>
      </c>
      <c r="L176" t="s">
        <v>30</v>
      </c>
      <c r="M176" t="s">
        <v>31</v>
      </c>
      <c r="N176" t="s">
        <v>920</v>
      </c>
      <c r="O176" s="2">
        <v>16</v>
      </c>
      <c r="P176">
        <v>2</v>
      </c>
      <c r="Q176" s="3">
        <v>0</v>
      </c>
      <c r="R176" s="2">
        <v>6.42</v>
      </c>
      <c r="S176" s="2">
        <v>3.18</v>
      </c>
      <c r="T176" t="s">
        <v>99</v>
      </c>
      <c r="U176">
        <v>2014</v>
      </c>
    </row>
    <row r="177" spans="1:21" x14ac:dyDescent="0.3">
      <c r="A177" t="s">
        <v>921</v>
      </c>
      <c r="B177" s="1">
        <v>41725</v>
      </c>
      <c r="C177" s="1">
        <v>41728</v>
      </c>
      <c r="D177" t="s">
        <v>45</v>
      </c>
      <c r="E177" t="s">
        <v>922</v>
      </c>
      <c r="F177" t="s">
        <v>54</v>
      </c>
      <c r="G177" t="s">
        <v>445</v>
      </c>
      <c r="H177" t="s">
        <v>72</v>
      </c>
      <c r="I177" t="s">
        <v>27</v>
      </c>
      <c r="J177" t="s">
        <v>73</v>
      </c>
      <c r="K177" t="s">
        <v>923</v>
      </c>
      <c r="L177" t="s">
        <v>146</v>
      </c>
      <c r="M177" t="s">
        <v>271</v>
      </c>
      <c r="N177" t="s">
        <v>924</v>
      </c>
      <c r="O177" s="2">
        <v>318</v>
      </c>
      <c r="P177">
        <v>8</v>
      </c>
      <c r="Q177" s="3">
        <v>0</v>
      </c>
      <c r="R177" s="2">
        <v>6.24</v>
      </c>
      <c r="S177" s="2">
        <v>43.88</v>
      </c>
      <c r="T177" t="s">
        <v>33</v>
      </c>
      <c r="U177">
        <v>2014</v>
      </c>
    </row>
    <row r="178" spans="1:21" x14ac:dyDescent="0.3">
      <c r="A178" t="s">
        <v>925</v>
      </c>
      <c r="B178" s="1">
        <v>41356</v>
      </c>
      <c r="C178" s="1">
        <v>41360</v>
      </c>
      <c r="D178" t="s">
        <v>22</v>
      </c>
      <c r="E178" t="s">
        <v>926</v>
      </c>
      <c r="F178" t="s">
        <v>54</v>
      </c>
      <c r="G178" t="s">
        <v>927</v>
      </c>
      <c r="H178" t="s">
        <v>72</v>
      </c>
      <c r="I178" t="s">
        <v>27</v>
      </c>
      <c r="J178" t="s">
        <v>73</v>
      </c>
      <c r="K178" t="s">
        <v>928</v>
      </c>
      <c r="L178" t="s">
        <v>30</v>
      </c>
      <c r="M178" t="s">
        <v>66</v>
      </c>
      <c r="N178" t="s">
        <v>929</v>
      </c>
      <c r="O178" s="2">
        <v>136</v>
      </c>
      <c r="P178">
        <v>1</v>
      </c>
      <c r="Q178" s="3">
        <v>0</v>
      </c>
      <c r="R178" s="2">
        <v>55.89</v>
      </c>
      <c r="S178" s="2">
        <v>7.8</v>
      </c>
      <c r="T178" t="s">
        <v>33</v>
      </c>
      <c r="U178">
        <v>2013</v>
      </c>
    </row>
    <row r="179" spans="1:21" x14ac:dyDescent="0.3">
      <c r="A179" t="s">
        <v>930</v>
      </c>
      <c r="B179" s="1">
        <v>40758</v>
      </c>
      <c r="C179" s="1">
        <v>40762</v>
      </c>
      <c r="D179" t="s">
        <v>22</v>
      </c>
      <c r="E179" t="s">
        <v>108</v>
      </c>
      <c r="F179" t="s">
        <v>24</v>
      </c>
      <c r="G179" t="s">
        <v>931</v>
      </c>
      <c r="H179" t="s">
        <v>402</v>
      </c>
      <c r="I179" t="s">
        <v>39</v>
      </c>
      <c r="J179" t="s">
        <v>236</v>
      </c>
      <c r="K179" t="s">
        <v>932</v>
      </c>
      <c r="L179" t="s">
        <v>30</v>
      </c>
      <c r="M179" t="s">
        <v>90</v>
      </c>
      <c r="N179" t="s">
        <v>933</v>
      </c>
      <c r="O179" s="2">
        <v>77</v>
      </c>
      <c r="P179">
        <v>4</v>
      </c>
      <c r="Q179" s="3">
        <v>0</v>
      </c>
      <c r="R179" s="2">
        <v>22.4</v>
      </c>
      <c r="S179" s="2">
        <v>10.39</v>
      </c>
      <c r="T179" t="s">
        <v>99</v>
      </c>
      <c r="U179">
        <v>2011</v>
      </c>
    </row>
    <row r="180" spans="1:21" x14ac:dyDescent="0.3">
      <c r="A180" t="s">
        <v>934</v>
      </c>
      <c r="B180" s="1">
        <v>41718</v>
      </c>
      <c r="C180" s="1">
        <v>41721</v>
      </c>
      <c r="D180" t="s">
        <v>45</v>
      </c>
      <c r="E180" t="s">
        <v>935</v>
      </c>
      <c r="F180" t="s">
        <v>54</v>
      </c>
      <c r="G180" t="s">
        <v>936</v>
      </c>
      <c r="H180" t="s">
        <v>72</v>
      </c>
      <c r="I180" t="s">
        <v>27</v>
      </c>
      <c r="J180" t="s">
        <v>73</v>
      </c>
      <c r="K180" t="s">
        <v>937</v>
      </c>
      <c r="L180" t="s">
        <v>146</v>
      </c>
      <c r="M180" t="s">
        <v>271</v>
      </c>
      <c r="N180" t="s">
        <v>938</v>
      </c>
      <c r="O180" s="2">
        <v>245</v>
      </c>
      <c r="P180">
        <v>1</v>
      </c>
      <c r="Q180" s="3">
        <v>0</v>
      </c>
      <c r="R180" s="2">
        <v>85.77</v>
      </c>
      <c r="S180" s="2">
        <v>19.88</v>
      </c>
      <c r="T180" t="s">
        <v>33</v>
      </c>
      <c r="U180">
        <v>2014</v>
      </c>
    </row>
    <row r="181" spans="1:21" x14ac:dyDescent="0.3">
      <c r="A181" t="s">
        <v>939</v>
      </c>
      <c r="B181" s="1">
        <v>41718</v>
      </c>
      <c r="C181" s="1">
        <v>41720</v>
      </c>
      <c r="D181" t="s">
        <v>45</v>
      </c>
      <c r="E181" t="s">
        <v>940</v>
      </c>
      <c r="F181" t="s">
        <v>54</v>
      </c>
      <c r="G181" t="s">
        <v>941</v>
      </c>
      <c r="H181" t="s">
        <v>152</v>
      </c>
      <c r="I181" t="s">
        <v>27</v>
      </c>
      <c r="J181" t="s">
        <v>153</v>
      </c>
      <c r="K181" t="s">
        <v>942</v>
      </c>
      <c r="L181" t="s">
        <v>30</v>
      </c>
      <c r="M181" t="s">
        <v>90</v>
      </c>
      <c r="N181" t="s">
        <v>943</v>
      </c>
      <c r="O181" s="2">
        <v>228</v>
      </c>
      <c r="P181">
        <v>9</v>
      </c>
      <c r="Q181" s="3">
        <v>0</v>
      </c>
      <c r="R181" s="2">
        <v>43.2</v>
      </c>
      <c r="S181" s="2">
        <v>28.62</v>
      </c>
      <c r="T181" t="s">
        <v>99</v>
      </c>
      <c r="U181">
        <v>2014</v>
      </c>
    </row>
    <row r="182" spans="1:21" x14ac:dyDescent="0.3">
      <c r="A182" t="s">
        <v>944</v>
      </c>
      <c r="B182" s="1">
        <v>40620</v>
      </c>
      <c r="C182" s="1">
        <v>40625</v>
      </c>
      <c r="D182" t="s">
        <v>22</v>
      </c>
      <c r="E182" t="s">
        <v>355</v>
      </c>
      <c r="F182" t="s">
        <v>54</v>
      </c>
      <c r="G182" t="s">
        <v>827</v>
      </c>
      <c r="H182" t="s">
        <v>72</v>
      </c>
      <c r="I182" t="s">
        <v>27</v>
      </c>
      <c r="J182" t="s">
        <v>73</v>
      </c>
      <c r="K182" t="s">
        <v>945</v>
      </c>
      <c r="L182" t="s">
        <v>30</v>
      </c>
      <c r="M182" t="s">
        <v>410</v>
      </c>
      <c r="N182" t="s">
        <v>946</v>
      </c>
      <c r="O182" s="2">
        <v>49</v>
      </c>
      <c r="P182">
        <v>3</v>
      </c>
      <c r="Q182" s="3">
        <v>0</v>
      </c>
      <c r="R182" s="2">
        <v>6.39</v>
      </c>
      <c r="S182" s="2">
        <v>3.09</v>
      </c>
      <c r="T182" t="s">
        <v>33</v>
      </c>
      <c r="U182">
        <v>2011</v>
      </c>
    </row>
    <row r="183" spans="1:21" x14ac:dyDescent="0.3">
      <c r="A183" t="s">
        <v>947</v>
      </c>
      <c r="B183" s="1">
        <v>41946</v>
      </c>
      <c r="C183" s="1">
        <v>41950</v>
      </c>
      <c r="D183" t="s">
        <v>22</v>
      </c>
      <c r="E183" t="s">
        <v>948</v>
      </c>
      <c r="F183" t="s">
        <v>24</v>
      </c>
      <c r="G183" t="s">
        <v>574</v>
      </c>
      <c r="H183" t="s">
        <v>135</v>
      </c>
      <c r="I183" t="s">
        <v>136</v>
      </c>
      <c r="J183" t="s">
        <v>396</v>
      </c>
      <c r="K183" t="s">
        <v>949</v>
      </c>
      <c r="L183" t="s">
        <v>30</v>
      </c>
      <c r="M183" t="s">
        <v>410</v>
      </c>
      <c r="N183" t="s">
        <v>950</v>
      </c>
      <c r="O183" s="2">
        <v>9</v>
      </c>
      <c r="P183">
        <v>3</v>
      </c>
      <c r="Q183" s="3">
        <v>0.2</v>
      </c>
      <c r="R183" s="2">
        <v>2.8782000000000001</v>
      </c>
      <c r="S183" s="2">
        <v>0.5</v>
      </c>
      <c r="T183" t="s">
        <v>33</v>
      </c>
      <c r="U183">
        <v>2014</v>
      </c>
    </row>
    <row r="184" spans="1:21" x14ac:dyDescent="0.3">
      <c r="A184" t="s">
        <v>951</v>
      </c>
      <c r="B184" s="1">
        <v>41915</v>
      </c>
      <c r="C184" s="1">
        <v>41919</v>
      </c>
      <c r="D184" t="s">
        <v>22</v>
      </c>
      <c r="E184" t="s">
        <v>952</v>
      </c>
      <c r="F184" t="s">
        <v>54</v>
      </c>
      <c r="G184" t="s">
        <v>134</v>
      </c>
      <c r="H184" t="s">
        <v>135</v>
      </c>
      <c r="I184" t="s">
        <v>136</v>
      </c>
      <c r="J184" t="s">
        <v>137</v>
      </c>
      <c r="K184" t="s">
        <v>953</v>
      </c>
      <c r="L184" t="s">
        <v>59</v>
      </c>
      <c r="M184" t="s">
        <v>60</v>
      </c>
      <c r="N184" t="s">
        <v>954</v>
      </c>
      <c r="O184" s="2">
        <v>17</v>
      </c>
      <c r="P184">
        <v>2</v>
      </c>
      <c r="Q184" s="3">
        <v>0</v>
      </c>
      <c r="R184" s="2">
        <v>5.9363999999999999</v>
      </c>
      <c r="S184" s="2">
        <v>1.31</v>
      </c>
      <c r="T184" t="s">
        <v>33</v>
      </c>
      <c r="U184">
        <v>2014</v>
      </c>
    </row>
    <row r="185" spans="1:21" x14ac:dyDescent="0.3">
      <c r="A185" t="s">
        <v>955</v>
      </c>
      <c r="B185" s="1">
        <v>41363</v>
      </c>
      <c r="C185" s="1">
        <v>41365</v>
      </c>
      <c r="D185" t="s">
        <v>84</v>
      </c>
      <c r="E185" t="s">
        <v>879</v>
      </c>
      <c r="F185" t="s">
        <v>36</v>
      </c>
      <c r="G185" t="s">
        <v>337</v>
      </c>
      <c r="H185" t="s">
        <v>316</v>
      </c>
      <c r="I185" t="s">
        <v>27</v>
      </c>
      <c r="J185" t="s">
        <v>212</v>
      </c>
      <c r="K185" t="s">
        <v>956</v>
      </c>
      <c r="L185" t="s">
        <v>146</v>
      </c>
      <c r="M185" t="s">
        <v>147</v>
      </c>
      <c r="N185" t="s">
        <v>957</v>
      </c>
      <c r="O185" s="2">
        <v>374</v>
      </c>
      <c r="P185">
        <v>3</v>
      </c>
      <c r="Q185" s="3">
        <v>0.1</v>
      </c>
      <c r="R185" s="2">
        <v>128.73599999999999</v>
      </c>
      <c r="S185" s="2">
        <v>27.09</v>
      </c>
      <c r="T185" t="s">
        <v>33</v>
      </c>
      <c r="U185">
        <v>2013</v>
      </c>
    </row>
    <row r="186" spans="1:21" x14ac:dyDescent="0.3">
      <c r="A186" t="s">
        <v>958</v>
      </c>
      <c r="B186" s="1">
        <v>41428</v>
      </c>
      <c r="C186" s="1">
        <v>41430</v>
      </c>
      <c r="D186" t="s">
        <v>45</v>
      </c>
      <c r="E186" t="s">
        <v>959</v>
      </c>
      <c r="F186" t="s">
        <v>54</v>
      </c>
      <c r="G186" t="s">
        <v>662</v>
      </c>
      <c r="H186" t="s">
        <v>316</v>
      </c>
      <c r="I186" t="s">
        <v>27</v>
      </c>
      <c r="J186" t="s">
        <v>212</v>
      </c>
      <c r="K186" t="s">
        <v>960</v>
      </c>
      <c r="L186" t="s">
        <v>30</v>
      </c>
      <c r="M186" t="s">
        <v>31</v>
      </c>
      <c r="N186" t="s">
        <v>961</v>
      </c>
      <c r="O186" s="2">
        <v>6</v>
      </c>
      <c r="P186">
        <v>1</v>
      </c>
      <c r="Q186" s="3">
        <v>0</v>
      </c>
      <c r="R186" s="2">
        <v>0.69</v>
      </c>
      <c r="S186" s="2">
        <v>0.8</v>
      </c>
      <c r="T186" t="s">
        <v>33</v>
      </c>
      <c r="U186">
        <v>2013</v>
      </c>
    </row>
    <row r="187" spans="1:21" x14ac:dyDescent="0.3">
      <c r="A187" t="s">
        <v>962</v>
      </c>
      <c r="B187" s="1">
        <v>40995</v>
      </c>
      <c r="C187" s="1">
        <v>41000</v>
      </c>
      <c r="D187" t="s">
        <v>22</v>
      </c>
      <c r="E187" t="s">
        <v>963</v>
      </c>
      <c r="F187" t="s">
        <v>54</v>
      </c>
      <c r="G187" t="s">
        <v>964</v>
      </c>
      <c r="H187" t="s">
        <v>791</v>
      </c>
      <c r="I187" t="s">
        <v>117</v>
      </c>
      <c r="J187" t="s">
        <v>117</v>
      </c>
      <c r="K187" t="s">
        <v>965</v>
      </c>
      <c r="L187" t="s">
        <v>146</v>
      </c>
      <c r="M187" t="s">
        <v>147</v>
      </c>
      <c r="N187" t="s">
        <v>966</v>
      </c>
      <c r="O187" s="2">
        <v>123</v>
      </c>
      <c r="P187">
        <v>1</v>
      </c>
      <c r="Q187" s="3">
        <v>0</v>
      </c>
      <c r="R187" s="2">
        <v>30.81</v>
      </c>
      <c r="S187" s="2">
        <v>2.58</v>
      </c>
      <c r="T187" t="s">
        <v>33</v>
      </c>
      <c r="U187">
        <v>2012</v>
      </c>
    </row>
    <row r="188" spans="1:21" x14ac:dyDescent="0.3">
      <c r="A188" t="s">
        <v>967</v>
      </c>
      <c r="B188" s="1">
        <v>40991</v>
      </c>
      <c r="C188" s="1">
        <v>40996</v>
      </c>
      <c r="D188" t="s">
        <v>22</v>
      </c>
      <c r="E188" t="s">
        <v>968</v>
      </c>
      <c r="F188" t="s">
        <v>24</v>
      </c>
      <c r="G188" t="s">
        <v>204</v>
      </c>
      <c r="H188" t="s">
        <v>205</v>
      </c>
      <c r="I188" t="s">
        <v>49</v>
      </c>
      <c r="J188" t="s">
        <v>57</v>
      </c>
      <c r="K188" t="s">
        <v>969</v>
      </c>
      <c r="L188" t="s">
        <v>30</v>
      </c>
      <c r="M188" t="s">
        <v>66</v>
      </c>
      <c r="N188" t="s">
        <v>970</v>
      </c>
      <c r="O188" s="2">
        <v>32</v>
      </c>
      <c r="P188">
        <v>2</v>
      </c>
      <c r="Q188" s="3">
        <v>0.1</v>
      </c>
      <c r="R188" s="2">
        <v>4.6260000000000003</v>
      </c>
      <c r="S188" s="2">
        <v>1.51</v>
      </c>
      <c r="T188" t="s">
        <v>33</v>
      </c>
      <c r="U188">
        <v>2012</v>
      </c>
    </row>
    <row r="189" spans="1:21" x14ac:dyDescent="0.3">
      <c r="A189" t="s">
        <v>971</v>
      </c>
      <c r="B189" s="1">
        <v>41348</v>
      </c>
      <c r="C189" s="1">
        <v>41350</v>
      </c>
      <c r="D189" t="s">
        <v>84</v>
      </c>
      <c r="E189" t="s">
        <v>972</v>
      </c>
      <c r="F189" t="s">
        <v>24</v>
      </c>
      <c r="G189" t="s">
        <v>973</v>
      </c>
      <c r="H189" t="s">
        <v>974</v>
      </c>
      <c r="I189" t="s">
        <v>117</v>
      </c>
      <c r="J189" t="s">
        <v>117</v>
      </c>
      <c r="K189" t="s">
        <v>975</v>
      </c>
      <c r="L189" t="s">
        <v>30</v>
      </c>
      <c r="M189" t="s">
        <v>97</v>
      </c>
      <c r="N189" t="s">
        <v>976</v>
      </c>
      <c r="O189" s="2">
        <v>4</v>
      </c>
      <c r="P189">
        <v>1</v>
      </c>
      <c r="Q189" s="3">
        <v>0.7</v>
      </c>
      <c r="R189" s="2">
        <v>-5.3250000000000002</v>
      </c>
      <c r="S189" s="2">
        <v>1.22</v>
      </c>
      <c r="T189" t="s">
        <v>68</v>
      </c>
      <c r="U189">
        <v>2013</v>
      </c>
    </row>
    <row r="190" spans="1:21" x14ac:dyDescent="0.3">
      <c r="A190" t="s">
        <v>977</v>
      </c>
      <c r="B190" s="1">
        <v>41717</v>
      </c>
      <c r="C190" s="1">
        <v>41723</v>
      </c>
      <c r="D190" t="s">
        <v>22</v>
      </c>
      <c r="E190" t="s">
        <v>978</v>
      </c>
      <c r="F190" t="s">
        <v>36</v>
      </c>
      <c r="G190" t="s">
        <v>979</v>
      </c>
      <c r="H190" t="s">
        <v>224</v>
      </c>
      <c r="I190" t="s">
        <v>49</v>
      </c>
      <c r="J190" t="s">
        <v>40</v>
      </c>
      <c r="K190" t="s">
        <v>980</v>
      </c>
      <c r="L190" t="s">
        <v>30</v>
      </c>
      <c r="M190" t="s">
        <v>66</v>
      </c>
      <c r="N190" t="s">
        <v>981</v>
      </c>
      <c r="O190" s="2">
        <v>85</v>
      </c>
      <c r="P190">
        <v>4</v>
      </c>
      <c r="Q190" s="3">
        <v>0.1</v>
      </c>
      <c r="R190" s="2">
        <v>-9.48</v>
      </c>
      <c r="S190" s="2">
        <v>5.23</v>
      </c>
      <c r="T190" t="s">
        <v>77</v>
      </c>
      <c r="U190">
        <v>2014</v>
      </c>
    </row>
    <row r="191" spans="1:21" x14ac:dyDescent="0.3">
      <c r="A191" t="s">
        <v>982</v>
      </c>
      <c r="B191" s="1">
        <v>41885</v>
      </c>
      <c r="C191" s="1">
        <v>41889</v>
      </c>
      <c r="D191" t="s">
        <v>22</v>
      </c>
      <c r="E191" t="s">
        <v>983</v>
      </c>
      <c r="F191" t="s">
        <v>54</v>
      </c>
      <c r="G191" t="s">
        <v>893</v>
      </c>
      <c r="H191" t="s">
        <v>894</v>
      </c>
      <c r="I191" t="s">
        <v>117</v>
      </c>
      <c r="J191" t="s">
        <v>117</v>
      </c>
      <c r="K191" t="s">
        <v>984</v>
      </c>
      <c r="L191" t="s">
        <v>146</v>
      </c>
      <c r="M191" t="s">
        <v>271</v>
      </c>
      <c r="N191" t="s">
        <v>985</v>
      </c>
      <c r="O191" s="2">
        <v>111</v>
      </c>
      <c r="P191">
        <v>2</v>
      </c>
      <c r="Q191" s="3">
        <v>0</v>
      </c>
      <c r="R191" s="2">
        <v>17.7</v>
      </c>
      <c r="S191" s="2">
        <v>13</v>
      </c>
      <c r="T191" t="s">
        <v>99</v>
      </c>
      <c r="U191">
        <v>2014</v>
      </c>
    </row>
    <row r="192" spans="1:21" x14ac:dyDescent="0.3">
      <c r="A192" t="s">
        <v>986</v>
      </c>
      <c r="B192" s="1">
        <v>41642</v>
      </c>
      <c r="C192" s="1">
        <v>41646</v>
      </c>
      <c r="D192" t="s">
        <v>22</v>
      </c>
      <c r="E192" t="s">
        <v>853</v>
      </c>
      <c r="F192" t="s">
        <v>54</v>
      </c>
      <c r="G192" t="s">
        <v>252</v>
      </c>
      <c r="H192" t="s">
        <v>144</v>
      </c>
      <c r="I192" t="s">
        <v>117</v>
      </c>
      <c r="J192" t="s">
        <v>117</v>
      </c>
      <c r="K192" t="s">
        <v>987</v>
      </c>
      <c r="L192" t="s">
        <v>30</v>
      </c>
      <c r="M192" t="s">
        <v>75</v>
      </c>
      <c r="N192" t="s">
        <v>988</v>
      </c>
      <c r="O192" s="2">
        <v>4</v>
      </c>
      <c r="P192">
        <v>1</v>
      </c>
      <c r="Q192" s="3">
        <v>0.7</v>
      </c>
      <c r="R192" s="2">
        <v>-2.544</v>
      </c>
      <c r="S192" s="2">
        <v>0.41</v>
      </c>
      <c r="T192" t="s">
        <v>99</v>
      </c>
      <c r="U192">
        <v>2014</v>
      </c>
    </row>
    <row r="193" spans="1:21" x14ac:dyDescent="0.3">
      <c r="A193" t="s">
        <v>989</v>
      </c>
      <c r="B193" s="1">
        <v>40998</v>
      </c>
      <c r="C193" s="1">
        <v>41000</v>
      </c>
      <c r="D193" t="s">
        <v>84</v>
      </c>
      <c r="E193" t="s">
        <v>990</v>
      </c>
      <c r="F193" t="s">
        <v>54</v>
      </c>
      <c r="G193" t="s">
        <v>893</v>
      </c>
      <c r="H193" t="s">
        <v>894</v>
      </c>
      <c r="I193" t="s">
        <v>117</v>
      </c>
      <c r="J193" t="s">
        <v>117</v>
      </c>
      <c r="K193" t="s">
        <v>991</v>
      </c>
      <c r="L193" t="s">
        <v>30</v>
      </c>
      <c r="M193" t="s">
        <v>31</v>
      </c>
      <c r="N193" t="s">
        <v>992</v>
      </c>
      <c r="O193" s="2">
        <v>30</v>
      </c>
      <c r="P193">
        <v>1</v>
      </c>
      <c r="Q193" s="3">
        <v>0</v>
      </c>
      <c r="R193" s="2">
        <v>5.01</v>
      </c>
      <c r="S193" s="2">
        <v>6.6</v>
      </c>
      <c r="T193" t="s">
        <v>68</v>
      </c>
      <c r="U193">
        <v>2012</v>
      </c>
    </row>
    <row r="194" spans="1:21" x14ac:dyDescent="0.3">
      <c r="A194" t="s">
        <v>993</v>
      </c>
      <c r="B194" s="1">
        <v>41732</v>
      </c>
      <c r="C194" s="1">
        <v>41734</v>
      </c>
      <c r="D194" t="s">
        <v>84</v>
      </c>
      <c r="E194" t="s">
        <v>994</v>
      </c>
      <c r="F194" t="s">
        <v>24</v>
      </c>
      <c r="G194" t="s">
        <v>127</v>
      </c>
      <c r="H194" t="s">
        <v>128</v>
      </c>
      <c r="I194" t="s">
        <v>49</v>
      </c>
      <c r="J194" t="s">
        <v>129</v>
      </c>
      <c r="K194" t="s">
        <v>995</v>
      </c>
      <c r="L194" t="s">
        <v>59</v>
      </c>
      <c r="M194" t="s">
        <v>339</v>
      </c>
      <c r="N194" t="s">
        <v>340</v>
      </c>
      <c r="O194" s="2">
        <v>2292</v>
      </c>
      <c r="P194">
        <v>7</v>
      </c>
      <c r="Q194" s="3">
        <v>0.1</v>
      </c>
      <c r="R194" s="2">
        <v>127.134</v>
      </c>
      <c r="S194" s="2">
        <v>448.91</v>
      </c>
      <c r="T194" t="s">
        <v>99</v>
      </c>
      <c r="U194">
        <v>2014</v>
      </c>
    </row>
    <row r="195" spans="1:21" x14ac:dyDescent="0.3">
      <c r="A195" t="s">
        <v>996</v>
      </c>
      <c r="B195" s="1">
        <v>41976</v>
      </c>
      <c r="C195" s="1">
        <v>41980</v>
      </c>
      <c r="D195" t="s">
        <v>22</v>
      </c>
      <c r="E195" t="s">
        <v>997</v>
      </c>
      <c r="F195" t="s">
        <v>24</v>
      </c>
      <c r="G195" t="s">
        <v>64</v>
      </c>
      <c r="H195" t="s">
        <v>56</v>
      </c>
      <c r="I195" t="s">
        <v>49</v>
      </c>
      <c r="J195" t="s">
        <v>57</v>
      </c>
      <c r="K195" t="s">
        <v>998</v>
      </c>
      <c r="L195" t="s">
        <v>30</v>
      </c>
      <c r="M195" t="s">
        <v>90</v>
      </c>
      <c r="N195" t="s">
        <v>999</v>
      </c>
      <c r="O195" s="2">
        <v>102</v>
      </c>
      <c r="P195">
        <v>7</v>
      </c>
      <c r="Q195" s="3">
        <v>0</v>
      </c>
      <c r="R195" s="2">
        <v>22.26</v>
      </c>
      <c r="S195" s="2">
        <v>5.0199999999999996</v>
      </c>
      <c r="T195" t="s">
        <v>33</v>
      </c>
      <c r="U195">
        <v>2014</v>
      </c>
    </row>
    <row r="196" spans="1:21" x14ac:dyDescent="0.3">
      <c r="A196" t="s">
        <v>1000</v>
      </c>
      <c r="B196" s="1">
        <v>41361</v>
      </c>
      <c r="C196" s="1">
        <v>41368</v>
      </c>
      <c r="D196" t="s">
        <v>22</v>
      </c>
      <c r="E196" t="s">
        <v>1001</v>
      </c>
      <c r="F196" t="s">
        <v>54</v>
      </c>
      <c r="G196" t="s">
        <v>523</v>
      </c>
      <c r="H196" t="s">
        <v>524</v>
      </c>
      <c r="I196" t="s">
        <v>39</v>
      </c>
      <c r="J196" t="s">
        <v>40</v>
      </c>
      <c r="K196" t="s">
        <v>1002</v>
      </c>
      <c r="L196" t="s">
        <v>30</v>
      </c>
      <c r="M196" t="s">
        <v>31</v>
      </c>
      <c r="N196" t="s">
        <v>1003</v>
      </c>
      <c r="O196" s="2">
        <v>3</v>
      </c>
      <c r="P196">
        <v>2</v>
      </c>
      <c r="Q196" s="3">
        <v>0.7</v>
      </c>
      <c r="R196" s="2">
        <v>-3.0720000000000001</v>
      </c>
      <c r="S196" s="2">
        <v>0.3</v>
      </c>
      <c r="T196" t="s">
        <v>33</v>
      </c>
      <c r="U196">
        <v>2013</v>
      </c>
    </row>
    <row r="197" spans="1:21" x14ac:dyDescent="0.3">
      <c r="A197" t="s">
        <v>1004</v>
      </c>
      <c r="B197" s="1">
        <v>41346</v>
      </c>
      <c r="C197" s="1">
        <v>41349</v>
      </c>
      <c r="D197" t="s">
        <v>45</v>
      </c>
      <c r="E197" t="s">
        <v>1005</v>
      </c>
      <c r="F197" t="s">
        <v>24</v>
      </c>
      <c r="G197" t="s">
        <v>134</v>
      </c>
      <c r="H197" t="s">
        <v>135</v>
      </c>
      <c r="I197" t="s">
        <v>136</v>
      </c>
      <c r="J197" t="s">
        <v>137</v>
      </c>
      <c r="K197" t="s">
        <v>1006</v>
      </c>
      <c r="L197" t="s">
        <v>30</v>
      </c>
      <c r="M197" t="s">
        <v>42</v>
      </c>
      <c r="N197" t="s">
        <v>1007</v>
      </c>
      <c r="O197" s="2">
        <v>155</v>
      </c>
      <c r="P197">
        <v>5</v>
      </c>
      <c r="Q197" s="3">
        <v>0</v>
      </c>
      <c r="R197" s="2">
        <v>40.274000000000001</v>
      </c>
      <c r="S197" s="2">
        <v>6.36</v>
      </c>
      <c r="T197" t="s">
        <v>33</v>
      </c>
      <c r="U197">
        <v>2013</v>
      </c>
    </row>
    <row r="198" spans="1:21" x14ac:dyDescent="0.3">
      <c r="A198" t="s">
        <v>1008</v>
      </c>
      <c r="B198" s="1">
        <v>40631</v>
      </c>
      <c r="C198" s="1">
        <v>40632</v>
      </c>
      <c r="D198" t="s">
        <v>84</v>
      </c>
      <c r="E198" t="s">
        <v>501</v>
      </c>
      <c r="F198" t="s">
        <v>54</v>
      </c>
      <c r="G198" t="s">
        <v>204</v>
      </c>
      <c r="H198" t="s">
        <v>205</v>
      </c>
      <c r="I198" t="s">
        <v>49</v>
      </c>
      <c r="J198" t="s">
        <v>57</v>
      </c>
      <c r="K198" t="s">
        <v>1009</v>
      </c>
      <c r="L198" t="s">
        <v>30</v>
      </c>
      <c r="M198" t="s">
        <v>370</v>
      </c>
      <c r="N198" t="s">
        <v>1010</v>
      </c>
      <c r="O198" s="2">
        <v>38</v>
      </c>
      <c r="P198">
        <v>2</v>
      </c>
      <c r="Q198" s="3">
        <v>0</v>
      </c>
      <c r="R198" s="2">
        <v>3</v>
      </c>
      <c r="S198" s="2">
        <v>7.73</v>
      </c>
      <c r="T198" t="s">
        <v>68</v>
      </c>
      <c r="U198">
        <v>2011</v>
      </c>
    </row>
    <row r="199" spans="1:21" x14ac:dyDescent="0.3">
      <c r="A199" t="s">
        <v>1011</v>
      </c>
      <c r="B199" s="1">
        <v>40758</v>
      </c>
      <c r="C199" s="1">
        <v>40764</v>
      </c>
      <c r="D199" t="s">
        <v>22</v>
      </c>
      <c r="E199" t="s">
        <v>1012</v>
      </c>
      <c r="F199" t="s">
        <v>54</v>
      </c>
      <c r="G199" t="s">
        <v>1013</v>
      </c>
      <c r="H199" t="s">
        <v>817</v>
      </c>
      <c r="I199" t="s">
        <v>88</v>
      </c>
      <c r="J199" t="s">
        <v>88</v>
      </c>
      <c r="K199" t="s">
        <v>1014</v>
      </c>
      <c r="L199" t="s">
        <v>59</v>
      </c>
      <c r="M199" t="s">
        <v>139</v>
      </c>
      <c r="N199" t="s">
        <v>1015</v>
      </c>
      <c r="O199" s="2">
        <v>263</v>
      </c>
      <c r="P199">
        <v>2</v>
      </c>
      <c r="Q199" s="3">
        <v>0</v>
      </c>
      <c r="R199" s="2">
        <v>47.28</v>
      </c>
      <c r="S199" s="2">
        <v>18.36</v>
      </c>
      <c r="T199" t="s">
        <v>33</v>
      </c>
      <c r="U199">
        <v>2011</v>
      </c>
    </row>
    <row r="200" spans="1:21" x14ac:dyDescent="0.3">
      <c r="A200" t="s">
        <v>1016</v>
      </c>
      <c r="B200" s="1">
        <v>41355</v>
      </c>
      <c r="C200" s="1">
        <v>41361</v>
      </c>
      <c r="D200" t="s">
        <v>22</v>
      </c>
      <c r="E200" t="s">
        <v>1017</v>
      </c>
      <c r="F200" t="s">
        <v>54</v>
      </c>
      <c r="G200" t="s">
        <v>345</v>
      </c>
      <c r="H200" t="s">
        <v>38</v>
      </c>
      <c r="I200" t="s">
        <v>39</v>
      </c>
      <c r="J200" t="s">
        <v>40</v>
      </c>
      <c r="K200" t="s">
        <v>1018</v>
      </c>
      <c r="L200" t="s">
        <v>30</v>
      </c>
      <c r="M200" t="s">
        <v>31</v>
      </c>
      <c r="N200" t="s">
        <v>1019</v>
      </c>
      <c r="O200" s="2">
        <v>4</v>
      </c>
      <c r="P200">
        <v>2</v>
      </c>
      <c r="Q200" s="3">
        <v>0.6</v>
      </c>
      <c r="R200" s="2">
        <v>-1.952</v>
      </c>
      <c r="S200" s="2">
        <v>0.11</v>
      </c>
      <c r="T200" t="s">
        <v>33</v>
      </c>
      <c r="U200">
        <v>2013</v>
      </c>
    </row>
    <row r="201" spans="1:21" x14ac:dyDescent="0.3">
      <c r="A201" t="s">
        <v>1020</v>
      </c>
      <c r="B201" s="1">
        <v>41642</v>
      </c>
      <c r="C201" s="1">
        <v>41643</v>
      </c>
      <c r="D201" t="s">
        <v>232</v>
      </c>
      <c r="E201" t="s">
        <v>1021</v>
      </c>
      <c r="F201" t="s">
        <v>54</v>
      </c>
      <c r="G201" t="s">
        <v>1022</v>
      </c>
      <c r="H201" t="s">
        <v>224</v>
      </c>
      <c r="I201" t="s">
        <v>49</v>
      </c>
      <c r="J201" t="s">
        <v>40</v>
      </c>
      <c r="K201" t="s">
        <v>1023</v>
      </c>
      <c r="L201" t="s">
        <v>30</v>
      </c>
      <c r="M201" t="s">
        <v>31</v>
      </c>
      <c r="N201" t="s">
        <v>1024</v>
      </c>
      <c r="O201" s="2">
        <v>25</v>
      </c>
      <c r="P201">
        <v>2</v>
      </c>
      <c r="Q201" s="3">
        <v>0</v>
      </c>
      <c r="R201" s="2">
        <v>11.1</v>
      </c>
      <c r="S201" s="2">
        <v>1.05</v>
      </c>
      <c r="T201" t="s">
        <v>99</v>
      </c>
      <c r="U201">
        <v>2014</v>
      </c>
    </row>
    <row r="202" spans="1:21" x14ac:dyDescent="0.3">
      <c r="A202" t="s">
        <v>1025</v>
      </c>
      <c r="B202" s="1">
        <v>40992</v>
      </c>
      <c r="C202" s="1">
        <v>40997</v>
      </c>
      <c r="D202" t="s">
        <v>45</v>
      </c>
      <c r="E202" t="s">
        <v>1026</v>
      </c>
      <c r="F202" t="s">
        <v>36</v>
      </c>
      <c r="G202" t="s">
        <v>1027</v>
      </c>
      <c r="H202" t="s">
        <v>1028</v>
      </c>
      <c r="I202" t="s">
        <v>117</v>
      </c>
      <c r="J202" t="s">
        <v>117</v>
      </c>
      <c r="K202" t="s">
        <v>1029</v>
      </c>
      <c r="L202" t="s">
        <v>146</v>
      </c>
      <c r="M202" t="s">
        <v>147</v>
      </c>
      <c r="N202" t="s">
        <v>1030</v>
      </c>
      <c r="O202" s="2">
        <v>65</v>
      </c>
      <c r="P202">
        <v>1</v>
      </c>
      <c r="Q202" s="3">
        <v>0</v>
      </c>
      <c r="R202" s="2">
        <v>18.93</v>
      </c>
      <c r="S202" s="2">
        <v>11.5</v>
      </c>
      <c r="T202" t="s">
        <v>99</v>
      </c>
      <c r="U202">
        <v>2012</v>
      </c>
    </row>
    <row r="203" spans="1:21" x14ac:dyDescent="0.3">
      <c r="A203" t="s">
        <v>1031</v>
      </c>
      <c r="B203" s="1">
        <v>40990</v>
      </c>
      <c r="C203" s="1">
        <v>40991</v>
      </c>
      <c r="D203" t="s">
        <v>84</v>
      </c>
      <c r="E203" t="s">
        <v>1032</v>
      </c>
      <c r="F203" t="s">
        <v>54</v>
      </c>
      <c r="G203" t="s">
        <v>1033</v>
      </c>
      <c r="H203" t="s">
        <v>1034</v>
      </c>
      <c r="I203" t="s">
        <v>88</v>
      </c>
      <c r="J203" t="s">
        <v>88</v>
      </c>
      <c r="K203" t="s">
        <v>1035</v>
      </c>
      <c r="L203" t="s">
        <v>146</v>
      </c>
      <c r="M203" t="s">
        <v>195</v>
      </c>
      <c r="N203" t="s">
        <v>1036</v>
      </c>
      <c r="O203" s="2">
        <v>80</v>
      </c>
      <c r="P203">
        <v>2</v>
      </c>
      <c r="Q203" s="3">
        <v>0</v>
      </c>
      <c r="R203" s="2">
        <v>12</v>
      </c>
      <c r="S203" s="2">
        <v>10.26</v>
      </c>
      <c r="T203" t="s">
        <v>33</v>
      </c>
      <c r="U203">
        <v>2012</v>
      </c>
    </row>
    <row r="204" spans="1:21" x14ac:dyDescent="0.3">
      <c r="A204" t="s">
        <v>1037</v>
      </c>
      <c r="B204" s="1">
        <v>40880</v>
      </c>
      <c r="C204" s="1">
        <v>40880</v>
      </c>
      <c r="D204" t="s">
        <v>232</v>
      </c>
      <c r="E204" t="s">
        <v>1038</v>
      </c>
      <c r="F204" t="s">
        <v>24</v>
      </c>
      <c r="G204" t="s">
        <v>1039</v>
      </c>
      <c r="H204" t="s">
        <v>205</v>
      </c>
      <c r="I204" t="s">
        <v>49</v>
      </c>
      <c r="J204" t="s">
        <v>57</v>
      </c>
      <c r="K204" t="s">
        <v>1040</v>
      </c>
      <c r="L204" t="s">
        <v>146</v>
      </c>
      <c r="M204" t="s">
        <v>147</v>
      </c>
      <c r="N204" t="s">
        <v>1041</v>
      </c>
      <c r="O204" s="2">
        <v>3228</v>
      </c>
      <c r="P204">
        <v>5</v>
      </c>
      <c r="Q204" s="3">
        <v>0</v>
      </c>
      <c r="R204" s="2">
        <v>742.35</v>
      </c>
      <c r="S204" s="2">
        <v>244.67</v>
      </c>
      <c r="T204" t="s">
        <v>33</v>
      </c>
      <c r="U204">
        <v>2011</v>
      </c>
    </row>
    <row r="205" spans="1:21" x14ac:dyDescent="0.3">
      <c r="A205" t="s">
        <v>1042</v>
      </c>
      <c r="B205" s="1">
        <v>41716</v>
      </c>
      <c r="C205" s="1">
        <v>41720</v>
      </c>
      <c r="D205" t="s">
        <v>22</v>
      </c>
      <c r="E205" t="s">
        <v>1043</v>
      </c>
      <c r="F205" t="s">
        <v>24</v>
      </c>
      <c r="G205" t="s">
        <v>1044</v>
      </c>
      <c r="H205" t="s">
        <v>844</v>
      </c>
      <c r="I205" t="s">
        <v>39</v>
      </c>
      <c r="J205" t="s">
        <v>57</v>
      </c>
      <c r="K205" t="s">
        <v>1045</v>
      </c>
      <c r="L205" t="s">
        <v>30</v>
      </c>
      <c r="M205" t="s">
        <v>370</v>
      </c>
      <c r="N205" t="s">
        <v>1046</v>
      </c>
      <c r="O205" s="2">
        <v>93</v>
      </c>
      <c r="P205">
        <v>3</v>
      </c>
      <c r="Q205" s="3">
        <v>0</v>
      </c>
      <c r="R205" s="2">
        <v>0</v>
      </c>
      <c r="S205" s="2">
        <v>6.26</v>
      </c>
      <c r="T205" t="s">
        <v>99</v>
      </c>
      <c r="U205">
        <v>2014</v>
      </c>
    </row>
    <row r="206" spans="1:21" x14ac:dyDescent="0.3">
      <c r="A206" t="s">
        <v>1047</v>
      </c>
      <c r="B206" s="1">
        <v>41715</v>
      </c>
      <c r="C206" s="1">
        <v>41715</v>
      </c>
      <c r="D206" t="s">
        <v>232</v>
      </c>
      <c r="E206" t="s">
        <v>1048</v>
      </c>
      <c r="F206" t="s">
        <v>54</v>
      </c>
      <c r="G206" t="s">
        <v>1049</v>
      </c>
      <c r="H206" t="s">
        <v>135</v>
      </c>
      <c r="I206" t="s">
        <v>136</v>
      </c>
      <c r="J206" t="s">
        <v>396</v>
      </c>
      <c r="K206" t="s">
        <v>1050</v>
      </c>
      <c r="L206" t="s">
        <v>146</v>
      </c>
      <c r="M206" t="s">
        <v>271</v>
      </c>
      <c r="N206" t="s">
        <v>1051</v>
      </c>
      <c r="O206" s="2">
        <v>160</v>
      </c>
      <c r="P206">
        <v>2</v>
      </c>
      <c r="Q206" s="3">
        <v>0.2</v>
      </c>
      <c r="R206" s="2">
        <v>43.995600000000003</v>
      </c>
      <c r="S206" s="2">
        <v>20.48</v>
      </c>
      <c r="T206" t="s">
        <v>99</v>
      </c>
      <c r="U206">
        <v>2014</v>
      </c>
    </row>
    <row r="207" spans="1:21" x14ac:dyDescent="0.3">
      <c r="A207" t="s">
        <v>1052</v>
      </c>
      <c r="B207" s="1">
        <v>41611</v>
      </c>
      <c r="C207" s="1">
        <v>41615</v>
      </c>
      <c r="D207" t="s">
        <v>22</v>
      </c>
      <c r="E207" t="s">
        <v>879</v>
      </c>
      <c r="F207" t="s">
        <v>36</v>
      </c>
      <c r="G207" t="s">
        <v>1053</v>
      </c>
      <c r="H207" t="s">
        <v>281</v>
      </c>
      <c r="I207" t="s">
        <v>39</v>
      </c>
      <c r="J207" t="s">
        <v>40</v>
      </c>
      <c r="K207" t="s">
        <v>1054</v>
      </c>
      <c r="L207" t="s">
        <v>30</v>
      </c>
      <c r="M207" t="s">
        <v>31</v>
      </c>
      <c r="N207" t="s">
        <v>1055</v>
      </c>
      <c r="O207" s="2">
        <v>39</v>
      </c>
      <c r="P207">
        <v>2</v>
      </c>
      <c r="Q207" s="3">
        <v>0</v>
      </c>
      <c r="R207" s="2">
        <v>10.96</v>
      </c>
      <c r="S207" s="2">
        <v>2.83</v>
      </c>
      <c r="T207" t="s">
        <v>33</v>
      </c>
      <c r="U207">
        <v>2013</v>
      </c>
    </row>
    <row r="208" spans="1:21" x14ac:dyDescent="0.3">
      <c r="A208" t="s">
        <v>1056</v>
      </c>
      <c r="B208" s="1">
        <v>41361</v>
      </c>
      <c r="C208" s="1">
        <v>41366</v>
      </c>
      <c r="D208" t="s">
        <v>22</v>
      </c>
      <c r="E208" t="s">
        <v>1057</v>
      </c>
      <c r="F208" t="s">
        <v>54</v>
      </c>
      <c r="G208" t="s">
        <v>1058</v>
      </c>
      <c r="H208" t="s">
        <v>218</v>
      </c>
      <c r="I208" t="s">
        <v>218</v>
      </c>
      <c r="J208" t="s">
        <v>218</v>
      </c>
      <c r="K208" t="s">
        <v>1059</v>
      </c>
      <c r="L208" t="s">
        <v>30</v>
      </c>
      <c r="M208" t="s">
        <v>66</v>
      </c>
      <c r="N208" t="s">
        <v>1060</v>
      </c>
      <c r="O208" s="2">
        <v>56</v>
      </c>
      <c r="P208">
        <v>1</v>
      </c>
      <c r="Q208" s="3">
        <v>0</v>
      </c>
      <c r="R208" s="2">
        <v>14.1</v>
      </c>
      <c r="S208" s="2">
        <v>7.68</v>
      </c>
      <c r="T208" t="s">
        <v>99</v>
      </c>
      <c r="U208">
        <v>2013</v>
      </c>
    </row>
    <row r="209" spans="1:21" x14ac:dyDescent="0.3">
      <c r="A209" t="s">
        <v>1061</v>
      </c>
      <c r="B209" s="1">
        <v>40623</v>
      </c>
      <c r="C209" s="1">
        <v>40627</v>
      </c>
      <c r="D209" t="s">
        <v>22</v>
      </c>
      <c r="E209" t="s">
        <v>1062</v>
      </c>
      <c r="F209" t="s">
        <v>24</v>
      </c>
      <c r="G209" t="s">
        <v>1063</v>
      </c>
      <c r="H209" t="s">
        <v>1064</v>
      </c>
      <c r="I209" t="s">
        <v>49</v>
      </c>
      <c r="J209" t="s">
        <v>57</v>
      </c>
      <c r="K209" t="s">
        <v>1065</v>
      </c>
      <c r="L209" t="s">
        <v>30</v>
      </c>
      <c r="M209" t="s">
        <v>90</v>
      </c>
      <c r="N209" t="s">
        <v>1066</v>
      </c>
      <c r="O209" s="2">
        <v>26</v>
      </c>
      <c r="P209">
        <v>2</v>
      </c>
      <c r="Q209" s="3">
        <v>0</v>
      </c>
      <c r="R209" s="2">
        <v>0.48</v>
      </c>
      <c r="S209" s="2">
        <v>1.52</v>
      </c>
      <c r="T209" t="s">
        <v>33</v>
      </c>
      <c r="U209">
        <v>2011</v>
      </c>
    </row>
    <row r="210" spans="1:21" x14ac:dyDescent="0.3">
      <c r="A210" t="s">
        <v>1067</v>
      </c>
      <c r="B210" s="1">
        <v>41032</v>
      </c>
      <c r="C210" s="1">
        <v>41038</v>
      </c>
      <c r="D210" t="s">
        <v>22</v>
      </c>
      <c r="E210" t="s">
        <v>1048</v>
      </c>
      <c r="F210" t="s">
        <v>54</v>
      </c>
      <c r="G210" t="s">
        <v>37</v>
      </c>
      <c r="H210" t="s">
        <v>38</v>
      </c>
      <c r="I210" t="s">
        <v>39</v>
      </c>
      <c r="J210" t="s">
        <v>40</v>
      </c>
      <c r="K210" t="s">
        <v>1068</v>
      </c>
      <c r="L210" t="s">
        <v>146</v>
      </c>
      <c r="M210" t="s">
        <v>347</v>
      </c>
      <c r="N210" t="s">
        <v>1069</v>
      </c>
      <c r="O210" s="2">
        <v>1516</v>
      </c>
      <c r="P210">
        <v>6</v>
      </c>
      <c r="Q210" s="3">
        <v>2E-3</v>
      </c>
      <c r="R210" s="2">
        <v>680.60136</v>
      </c>
      <c r="S210" s="2">
        <v>118.62</v>
      </c>
      <c r="T210" t="s">
        <v>33</v>
      </c>
      <c r="U210">
        <v>2012</v>
      </c>
    </row>
    <row r="211" spans="1:21" x14ac:dyDescent="0.3">
      <c r="A211" t="s">
        <v>1070</v>
      </c>
      <c r="B211" s="1">
        <v>41732</v>
      </c>
      <c r="C211" s="1">
        <v>41737</v>
      </c>
      <c r="D211" t="s">
        <v>22</v>
      </c>
      <c r="E211" t="s">
        <v>1071</v>
      </c>
      <c r="F211" t="s">
        <v>54</v>
      </c>
      <c r="G211" t="s">
        <v>134</v>
      </c>
      <c r="H211" t="s">
        <v>135</v>
      </c>
      <c r="I211" t="s">
        <v>136</v>
      </c>
      <c r="J211" t="s">
        <v>137</v>
      </c>
      <c r="K211" t="s">
        <v>1072</v>
      </c>
      <c r="L211" t="s">
        <v>59</v>
      </c>
      <c r="M211" t="s">
        <v>60</v>
      </c>
      <c r="N211" t="s">
        <v>1073</v>
      </c>
      <c r="O211" s="2">
        <v>25</v>
      </c>
      <c r="P211">
        <v>3</v>
      </c>
      <c r="Q211" s="3">
        <v>0</v>
      </c>
      <c r="R211" s="2">
        <v>6.5286</v>
      </c>
      <c r="S211" s="2">
        <v>0.96</v>
      </c>
      <c r="T211" t="s">
        <v>33</v>
      </c>
      <c r="U211">
        <v>2014</v>
      </c>
    </row>
    <row r="212" spans="1:21" x14ac:dyDescent="0.3">
      <c r="A212" t="s">
        <v>1074</v>
      </c>
      <c r="B212" s="1">
        <v>41719</v>
      </c>
      <c r="C212" s="1">
        <v>41723</v>
      </c>
      <c r="D212" t="s">
        <v>22</v>
      </c>
      <c r="E212" t="s">
        <v>1075</v>
      </c>
      <c r="F212" t="s">
        <v>54</v>
      </c>
      <c r="G212" t="s">
        <v>1076</v>
      </c>
      <c r="H212" t="s">
        <v>1077</v>
      </c>
      <c r="I212" t="s">
        <v>39</v>
      </c>
      <c r="J212" t="s">
        <v>236</v>
      </c>
      <c r="K212" t="s">
        <v>1078</v>
      </c>
      <c r="L212" t="s">
        <v>30</v>
      </c>
      <c r="M212" t="s">
        <v>31</v>
      </c>
      <c r="N212" t="s">
        <v>1079</v>
      </c>
      <c r="O212" s="2">
        <v>85</v>
      </c>
      <c r="P212">
        <v>14</v>
      </c>
      <c r="Q212" s="3">
        <v>0.4</v>
      </c>
      <c r="R212" s="2">
        <v>-14.28</v>
      </c>
      <c r="S212" s="2">
        <v>5.31</v>
      </c>
      <c r="T212" t="s">
        <v>33</v>
      </c>
      <c r="U212">
        <v>2014</v>
      </c>
    </row>
    <row r="213" spans="1:21" x14ac:dyDescent="0.3">
      <c r="A213" t="s">
        <v>1080</v>
      </c>
      <c r="B213" s="1">
        <v>40789</v>
      </c>
      <c r="C213" s="1">
        <v>40790</v>
      </c>
      <c r="D213" t="s">
        <v>84</v>
      </c>
      <c r="E213" t="s">
        <v>1081</v>
      </c>
      <c r="F213" t="s">
        <v>36</v>
      </c>
      <c r="G213" t="s">
        <v>569</v>
      </c>
      <c r="H213" t="s">
        <v>135</v>
      </c>
      <c r="I213" t="s">
        <v>136</v>
      </c>
      <c r="J213" t="s">
        <v>57</v>
      </c>
      <c r="K213" t="s">
        <v>1082</v>
      </c>
      <c r="L213" t="s">
        <v>30</v>
      </c>
      <c r="M213" t="s">
        <v>31</v>
      </c>
      <c r="N213" t="s">
        <v>1083</v>
      </c>
      <c r="O213" s="2">
        <v>8</v>
      </c>
      <c r="P213">
        <v>5</v>
      </c>
      <c r="Q213" s="3">
        <v>0.8</v>
      </c>
      <c r="R213" s="2">
        <v>-11.52</v>
      </c>
      <c r="S213" s="2">
        <v>1.43</v>
      </c>
      <c r="T213" t="s">
        <v>99</v>
      </c>
      <c r="U213">
        <v>2011</v>
      </c>
    </row>
    <row r="214" spans="1:21" x14ac:dyDescent="0.3">
      <c r="A214" t="s">
        <v>1084</v>
      </c>
      <c r="B214" s="1">
        <v>41397</v>
      </c>
      <c r="C214" s="1">
        <v>41401</v>
      </c>
      <c r="D214" t="s">
        <v>22</v>
      </c>
      <c r="E214" t="s">
        <v>1085</v>
      </c>
      <c r="F214" t="s">
        <v>54</v>
      </c>
      <c r="G214" t="s">
        <v>617</v>
      </c>
      <c r="H214" t="s">
        <v>26</v>
      </c>
      <c r="I214" t="s">
        <v>27</v>
      </c>
      <c r="J214" t="s">
        <v>28</v>
      </c>
      <c r="K214" t="s">
        <v>1086</v>
      </c>
      <c r="L214" t="s">
        <v>30</v>
      </c>
      <c r="M214" t="s">
        <v>42</v>
      </c>
      <c r="N214" t="s">
        <v>1087</v>
      </c>
      <c r="O214" s="2">
        <v>204</v>
      </c>
      <c r="P214">
        <v>3</v>
      </c>
      <c r="Q214" s="3">
        <v>0.17</v>
      </c>
      <c r="R214" s="2">
        <v>36.772199999999998</v>
      </c>
      <c r="S214" s="2">
        <v>21.33</v>
      </c>
      <c r="T214" t="s">
        <v>99</v>
      </c>
      <c r="U214">
        <v>2013</v>
      </c>
    </row>
    <row r="215" spans="1:21" x14ac:dyDescent="0.3">
      <c r="A215" t="s">
        <v>1088</v>
      </c>
      <c r="B215" s="1">
        <v>41915</v>
      </c>
      <c r="C215" s="1">
        <v>41920</v>
      </c>
      <c r="D215" t="s">
        <v>22</v>
      </c>
      <c r="E215" t="s">
        <v>913</v>
      </c>
      <c r="F215" t="s">
        <v>36</v>
      </c>
      <c r="G215" t="s">
        <v>1089</v>
      </c>
      <c r="H215" t="s">
        <v>135</v>
      </c>
      <c r="I215" t="s">
        <v>136</v>
      </c>
      <c r="J215" t="s">
        <v>137</v>
      </c>
      <c r="K215" t="s">
        <v>1090</v>
      </c>
      <c r="L215" t="s">
        <v>146</v>
      </c>
      <c r="M215" t="s">
        <v>147</v>
      </c>
      <c r="N215" t="s">
        <v>1091</v>
      </c>
      <c r="O215" s="2">
        <v>85</v>
      </c>
      <c r="P215">
        <v>2</v>
      </c>
      <c r="Q215" s="3">
        <v>0.2</v>
      </c>
      <c r="R215" s="2">
        <v>-20.136199999999999</v>
      </c>
      <c r="S215" s="2">
        <v>6.78</v>
      </c>
      <c r="T215" t="s">
        <v>99</v>
      </c>
      <c r="U215">
        <v>2014</v>
      </c>
    </row>
    <row r="216" spans="1:21" x14ac:dyDescent="0.3">
      <c r="A216" t="s">
        <v>1092</v>
      </c>
      <c r="B216" s="1">
        <v>41550</v>
      </c>
      <c r="C216" s="1">
        <v>41554</v>
      </c>
      <c r="D216" t="s">
        <v>22</v>
      </c>
      <c r="E216" t="s">
        <v>1093</v>
      </c>
      <c r="F216" t="s">
        <v>24</v>
      </c>
      <c r="G216" t="s">
        <v>337</v>
      </c>
      <c r="H216" t="s">
        <v>316</v>
      </c>
      <c r="I216" t="s">
        <v>27</v>
      </c>
      <c r="J216" t="s">
        <v>212</v>
      </c>
      <c r="K216" t="s">
        <v>1094</v>
      </c>
      <c r="L216" t="s">
        <v>30</v>
      </c>
      <c r="M216" t="s">
        <v>410</v>
      </c>
      <c r="N216" t="s">
        <v>1095</v>
      </c>
      <c r="O216" s="2">
        <v>158</v>
      </c>
      <c r="P216">
        <v>9</v>
      </c>
      <c r="Q216" s="3">
        <v>0.1</v>
      </c>
      <c r="R216" s="2">
        <v>15.66</v>
      </c>
      <c r="S216" s="2">
        <v>22.63</v>
      </c>
      <c r="T216" t="s">
        <v>99</v>
      </c>
      <c r="U216">
        <v>2013</v>
      </c>
    </row>
    <row r="217" spans="1:21" x14ac:dyDescent="0.3">
      <c r="A217" t="s">
        <v>1096</v>
      </c>
      <c r="B217" s="1">
        <v>40623</v>
      </c>
      <c r="C217" s="1">
        <v>40627</v>
      </c>
      <c r="D217" t="s">
        <v>22</v>
      </c>
      <c r="E217" t="s">
        <v>1097</v>
      </c>
      <c r="F217" t="s">
        <v>54</v>
      </c>
      <c r="G217" t="s">
        <v>1098</v>
      </c>
      <c r="H217" t="s">
        <v>72</v>
      </c>
      <c r="I217" t="s">
        <v>27</v>
      </c>
      <c r="J217" t="s">
        <v>73</v>
      </c>
      <c r="K217" t="s">
        <v>1099</v>
      </c>
      <c r="L217" t="s">
        <v>30</v>
      </c>
      <c r="M217" t="s">
        <v>410</v>
      </c>
      <c r="N217" t="s">
        <v>1100</v>
      </c>
      <c r="O217" s="2">
        <v>93</v>
      </c>
      <c r="P217">
        <v>2</v>
      </c>
      <c r="Q217" s="3">
        <v>0</v>
      </c>
      <c r="R217" s="2">
        <v>29.82</v>
      </c>
      <c r="S217" s="2">
        <v>11.52</v>
      </c>
      <c r="T217" t="s">
        <v>99</v>
      </c>
      <c r="U217">
        <v>2011</v>
      </c>
    </row>
    <row r="218" spans="1:21" x14ac:dyDescent="0.3">
      <c r="A218" t="s">
        <v>1101</v>
      </c>
      <c r="B218" s="1">
        <v>40819</v>
      </c>
      <c r="C218" s="1">
        <v>40821</v>
      </c>
      <c r="D218" t="s">
        <v>45</v>
      </c>
      <c r="E218" t="s">
        <v>1102</v>
      </c>
      <c r="F218" t="s">
        <v>54</v>
      </c>
      <c r="G218" t="s">
        <v>1103</v>
      </c>
      <c r="H218" t="s">
        <v>269</v>
      </c>
      <c r="I218" t="s">
        <v>88</v>
      </c>
      <c r="J218" t="s">
        <v>88</v>
      </c>
      <c r="K218" t="s">
        <v>802</v>
      </c>
      <c r="L218" t="s">
        <v>30</v>
      </c>
      <c r="M218" t="s">
        <v>90</v>
      </c>
      <c r="N218" t="s">
        <v>803</v>
      </c>
      <c r="O218" s="2">
        <v>267</v>
      </c>
      <c r="P218">
        <v>6</v>
      </c>
      <c r="Q218" s="3">
        <v>0</v>
      </c>
      <c r="R218" s="2">
        <v>87.84</v>
      </c>
      <c r="S218" s="2">
        <v>32.24</v>
      </c>
      <c r="T218" t="s">
        <v>33</v>
      </c>
      <c r="U218">
        <v>2011</v>
      </c>
    </row>
    <row r="219" spans="1:21" x14ac:dyDescent="0.3">
      <c r="A219" t="s">
        <v>1104</v>
      </c>
      <c r="B219" s="1">
        <v>40617</v>
      </c>
      <c r="C219" s="1">
        <v>40621</v>
      </c>
      <c r="D219" t="s">
        <v>22</v>
      </c>
      <c r="E219" t="s">
        <v>53</v>
      </c>
      <c r="F219" t="s">
        <v>54</v>
      </c>
      <c r="G219" t="s">
        <v>1105</v>
      </c>
      <c r="H219" t="s">
        <v>135</v>
      </c>
      <c r="I219" t="s">
        <v>136</v>
      </c>
      <c r="J219" t="s">
        <v>40</v>
      </c>
      <c r="K219" t="s">
        <v>1106</v>
      </c>
      <c r="L219" t="s">
        <v>30</v>
      </c>
      <c r="M219" t="s">
        <v>31</v>
      </c>
      <c r="N219" t="s">
        <v>1107</v>
      </c>
      <c r="O219" s="2">
        <v>43</v>
      </c>
      <c r="P219">
        <v>4</v>
      </c>
      <c r="Q219" s="3">
        <v>0.7</v>
      </c>
      <c r="R219" s="2">
        <v>-31.671199999999999</v>
      </c>
      <c r="S219" s="2">
        <v>5.01</v>
      </c>
      <c r="T219" t="s">
        <v>99</v>
      </c>
      <c r="U219">
        <v>2011</v>
      </c>
    </row>
    <row r="220" spans="1:21" x14ac:dyDescent="0.3">
      <c r="A220" t="s">
        <v>1108</v>
      </c>
      <c r="B220" s="1">
        <v>40605</v>
      </c>
      <c r="C220" s="1">
        <v>40611</v>
      </c>
      <c r="D220" t="s">
        <v>22</v>
      </c>
      <c r="E220" t="s">
        <v>1109</v>
      </c>
      <c r="F220" t="s">
        <v>54</v>
      </c>
      <c r="G220" t="s">
        <v>1110</v>
      </c>
      <c r="H220" t="s">
        <v>1111</v>
      </c>
      <c r="I220" t="s">
        <v>88</v>
      </c>
      <c r="J220" t="s">
        <v>88</v>
      </c>
      <c r="K220" t="s">
        <v>1112</v>
      </c>
      <c r="L220" t="s">
        <v>146</v>
      </c>
      <c r="M220" t="s">
        <v>195</v>
      </c>
      <c r="N220" t="s">
        <v>1113</v>
      </c>
      <c r="O220" s="2">
        <v>489</v>
      </c>
      <c r="P220">
        <v>4</v>
      </c>
      <c r="Q220" s="3">
        <v>0</v>
      </c>
      <c r="R220" s="2">
        <v>97.8</v>
      </c>
      <c r="S220" s="2">
        <v>36.03</v>
      </c>
      <c r="T220" t="s">
        <v>33</v>
      </c>
      <c r="U220">
        <v>2011</v>
      </c>
    </row>
    <row r="221" spans="1:21" x14ac:dyDescent="0.3">
      <c r="A221" t="s">
        <v>1114</v>
      </c>
      <c r="B221" s="1">
        <v>41361</v>
      </c>
      <c r="C221" s="1">
        <v>41364</v>
      </c>
      <c r="D221" t="s">
        <v>84</v>
      </c>
      <c r="E221" t="s">
        <v>917</v>
      </c>
      <c r="F221" t="s">
        <v>54</v>
      </c>
      <c r="G221" t="s">
        <v>384</v>
      </c>
      <c r="H221" t="s">
        <v>26</v>
      </c>
      <c r="I221" t="s">
        <v>27</v>
      </c>
      <c r="J221" t="s">
        <v>28</v>
      </c>
      <c r="K221" t="s">
        <v>1115</v>
      </c>
      <c r="L221" t="s">
        <v>30</v>
      </c>
      <c r="M221" t="s">
        <v>370</v>
      </c>
      <c r="N221" t="s">
        <v>1116</v>
      </c>
      <c r="O221" s="2">
        <v>31</v>
      </c>
      <c r="P221">
        <v>2</v>
      </c>
      <c r="Q221" s="3">
        <v>0.47</v>
      </c>
      <c r="R221" s="2">
        <v>-22.5534</v>
      </c>
      <c r="S221" s="2">
        <v>6.74</v>
      </c>
      <c r="T221" t="s">
        <v>99</v>
      </c>
      <c r="U221">
        <v>2013</v>
      </c>
    </row>
    <row r="222" spans="1:21" x14ac:dyDescent="0.3">
      <c r="A222" t="s">
        <v>1117</v>
      </c>
      <c r="B222" s="1">
        <v>40995</v>
      </c>
      <c r="C222" s="1">
        <v>41000</v>
      </c>
      <c r="D222" t="s">
        <v>45</v>
      </c>
      <c r="E222" t="s">
        <v>1118</v>
      </c>
      <c r="F222" t="s">
        <v>54</v>
      </c>
      <c r="G222" t="s">
        <v>127</v>
      </c>
      <c r="H222" t="s">
        <v>128</v>
      </c>
      <c r="I222" t="s">
        <v>49</v>
      </c>
      <c r="J222" t="s">
        <v>129</v>
      </c>
      <c r="K222" t="s">
        <v>1119</v>
      </c>
      <c r="L222" t="s">
        <v>146</v>
      </c>
      <c r="M222" t="s">
        <v>195</v>
      </c>
      <c r="N222" t="s">
        <v>1120</v>
      </c>
      <c r="O222" s="2">
        <v>504</v>
      </c>
      <c r="P222">
        <v>6</v>
      </c>
      <c r="Q222" s="3">
        <v>0</v>
      </c>
      <c r="R222" s="2">
        <v>110.88</v>
      </c>
      <c r="S222" s="2">
        <v>39.799999999999997</v>
      </c>
      <c r="T222" t="s">
        <v>33</v>
      </c>
      <c r="U222">
        <v>2012</v>
      </c>
    </row>
    <row r="223" spans="1:21" x14ac:dyDescent="0.3">
      <c r="A223" t="s">
        <v>1121</v>
      </c>
      <c r="B223" s="1">
        <v>41428</v>
      </c>
      <c r="C223" s="1">
        <v>41435</v>
      </c>
      <c r="D223" t="s">
        <v>22</v>
      </c>
      <c r="E223" t="s">
        <v>1122</v>
      </c>
      <c r="F223" t="s">
        <v>54</v>
      </c>
      <c r="G223" t="s">
        <v>1123</v>
      </c>
      <c r="H223" t="s">
        <v>269</v>
      </c>
      <c r="I223" t="s">
        <v>88</v>
      </c>
      <c r="J223" t="s">
        <v>88</v>
      </c>
      <c r="K223" t="s">
        <v>1124</v>
      </c>
      <c r="L223" t="s">
        <v>30</v>
      </c>
      <c r="M223" t="s">
        <v>31</v>
      </c>
      <c r="N223" t="s">
        <v>1125</v>
      </c>
      <c r="O223" s="2">
        <v>9</v>
      </c>
      <c r="P223">
        <v>1</v>
      </c>
      <c r="Q223" s="3">
        <v>0</v>
      </c>
      <c r="R223" s="2">
        <v>4.0199999999999996</v>
      </c>
      <c r="S223" s="2">
        <v>0.17</v>
      </c>
      <c r="T223" t="s">
        <v>33</v>
      </c>
      <c r="U223">
        <v>2013</v>
      </c>
    </row>
    <row r="224" spans="1:21" x14ac:dyDescent="0.3">
      <c r="A224" t="s">
        <v>1126</v>
      </c>
      <c r="B224" s="1">
        <v>40627</v>
      </c>
      <c r="C224" s="1">
        <v>40632</v>
      </c>
      <c r="D224" t="s">
        <v>22</v>
      </c>
      <c r="E224" t="s">
        <v>1127</v>
      </c>
      <c r="F224" t="s">
        <v>54</v>
      </c>
      <c r="G224" t="s">
        <v>134</v>
      </c>
      <c r="H224" t="s">
        <v>135</v>
      </c>
      <c r="I224" t="s">
        <v>136</v>
      </c>
      <c r="J224" t="s">
        <v>137</v>
      </c>
      <c r="K224" t="s">
        <v>1128</v>
      </c>
      <c r="L224" t="s">
        <v>146</v>
      </c>
      <c r="M224" t="s">
        <v>271</v>
      </c>
      <c r="N224" t="s">
        <v>1129</v>
      </c>
      <c r="O224" s="2">
        <v>45</v>
      </c>
      <c r="P224">
        <v>4</v>
      </c>
      <c r="Q224" s="3">
        <v>0</v>
      </c>
      <c r="R224" s="2">
        <v>15.917999999999999</v>
      </c>
      <c r="S224" s="2">
        <v>1.95</v>
      </c>
      <c r="T224" t="s">
        <v>33</v>
      </c>
      <c r="U224">
        <v>2011</v>
      </c>
    </row>
    <row r="225" spans="1:21" x14ac:dyDescent="0.3">
      <c r="A225" t="s">
        <v>1130</v>
      </c>
      <c r="B225" s="1">
        <v>40995</v>
      </c>
      <c r="C225" s="1">
        <v>41000</v>
      </c>
      <c r="D225" t="s">
        <v>45</v>
      </c>
      <c r="E225" t="s">
        <v>1131</v>
      </c>
      <c r="F225" t="s">
        <v>36</v>
      </c>
      <c r="G225" t="s">
        <v>440</v>
      </c>
      <c r="H225" t="s">
        <v>56</v>
      </c>
      <c r="I225" t="s">
        <v>49</v>
      </c>
      <c r="J225" t="s">
        <v>57</v>
      </c>
      <c r="K225" t="s">
        <v>1132</v>
      </c>
      <c r="L225" t="s">
        <v>30</v>
      </c>
      <c r="M225" t="s">
        <v>97</v>
      </c>
      <c r="N225" t="s">
        <v>1133</v>
      </c>
      <c r="O225" s="2">
        <v>53</v>
      </c>
      <c r="P225">
        <v>4</v>
      </c>
      <c r="Q225" s="3">
        <v>0</v>
      </c>
      <c r="R225" s="2">
        <v>13.08</v>
      </c>
      <c r="S225" s="2">
        <v>4.91</v>
      </c>
      <c r="T225" t="s">
        <v>33</v>
      </c>
      <c r="U225">
        <v>2012</v>
      </c>
    </row>
    <row r="226" spans="1:21" x14ac:dyDescent="0.3">
      <c r="A226" t="s">
        <v>1134</v>
      </c>
      <c r="B226" s="1">
        <v>41611</v>
      </c>
      <c r="C226" s="1">
        <v>41616</v>
      </c>
      <c r="D226" t="s">
        <v>22</v>
      </c>
      <c r="E226" t="s">
        <v>1135</v>
      </c>
      <c r="F226" t="s">
        <v>36</v>
      </c>
      <c r="G226" t="s">
        <v>1136</v>
      </c>
      <c r="H226" t="s">
        <v>435</v>
      </c>
      <c r="I226" t="s">
        <v>117</v>
      </c>
      <c r="J226" t="s">
        <v>117</v>
      </c>
      <c r="K226" t="s">
        <v>919</v>
      </c>
      <c r="L226" t="s">
        <v>30</v>
      </c>
      <c r="M226" t="s">
        <v>31</v>
      </c>
      <c r="N226" t="s">
        <v>920</v>
      </c>
      <c r="O226" s="2">
        <v>94</v>
      </c>
      <c r="P226">
        <v>12</v>
      </c>
      <c r="Q226" s="3">
        <v>0</v>
      </c>
      <c r="R226" s="2">
        <v>38.520000000000003</v>
      </c>
      <c r="S226" s="2">
        <v>6.76</v>
      </c>
      <c r="T226" t="s">
        <v>33</v>
      </c>
      <c r="U226">
        <v>2013</v>
      </c>
    </row>
    <row r="227" spans="1:21" x14ac:dyDescent="0.3">
      <c r="A227" t="s">
        <v>971</v>
      </c>
      <c r="B227" s="1">
        <v>41348</v>
      </c>
      <c r="C227" s="1">
        <v>41350</v>
      </c>
      <c r="D227" t="s">
        <v>84</v>
      </c>
      <c r="E227" t="s">
        <v>972</v>
      </c>
      <c r="F227" t="s">
        <v>24</v>
      </c>
      <c r="G227" t="s">
        <v>973</v>
      </c>
      <c r="H227" t="s">
        <v>974</v>
      </c>
      <c r="I227" t="s">
        <v>117</v>
      </c>
      <c r="J227" t="s">
        <v>117</v>
      </c>
      <c r="K227" t="s">
        <v>1137</v>
      </c>
      <c r="L227" t="s">
        <v>30</v>
      </c>
      <c r="M227" t="s">
        <v>90</v>
      </c>
      <c r="N227" t="s">
        <v>1138</v>
      </c>
      <c r="O227" s="2">
        <v>64</v>
      </c>
      <c r="P227">
        <v>4</v>
      </c>
      <c r="Q227" s="3">
        <v>0.7</v>
      </c>
      <c r="R227" s="2">
        <v>-133.19999999999999</v>
      </c>
      <c r="S227" s="2">
        <v>11.57</v>
      </c>
      <c r="T227" t="s">
        <v>68</v>
      </c>
      <c r="U227">
        <v>2013</v>
      </c>
    </row>
    <row r="228" spans="1:21" x14ac:dyDescent="0.3">
      <c r="A228" t="s">
        <v>1139</v>
      </c>
      <c r="B228" s="1">
        <v>40666</v>
      </c>
      <c r="C228" s="1">
        <v>40670</v>
      </c>
      <c r="D228" t="s">
        <v>45</v>
      </c>
      <c r="E228" t="s">
        <v>1140</v>
      </c>
      <c r="F228" t="s">
        <v>24</v>
      </c>
      <c r="G228" t="s">
        <v>1141</v>
      </c>
      <c r="H228" t="s">
        <v>205</v>
      </c>
      <c r="I228" t="s">
        <v>49</v>
      </c>
      <c r="J228" t="s">
        <v>57</v>
      </c>
      <c r="K228" t="s">
        <v>1142</v>
      </c>
      <c r="L228" t="s">
        <v>146</v>
      </c>
      <c r="M228" t="s">
        <v>195</v>
      </c>
      <c r="N228" t="s">
        <v>1143</v>
      </c>
      <c r="O228" s="2">
        <v>99</v>
      </c>
      <c r="P228">
        <v>2</v>
      </c>
      <c r="Q228" s="3">
        <v>0</v>
      </c>
      <c r="R228" s="2">
        <v>28.62</v>
      </c>
      <c r="S228" s="2">
        <v>17.350000000000001</v>
      </c>
      <c r="T228" t="s">
        <v>99</v>
      </c>
      <c r="U228">
        <v>2011</v>
      </c>
    </row>
    <row r="229" spans="1:21" x14ac:dyDescent="0.3">
      <c r="A229" t="s">
        <v>1144</v>
      </c>
      <c r="B229" s="1">
        <v>41915</v>
      </c>
      <c r="C229" s="1">
        <v>41915</v>
      </c>
      <c r="D229" t="s">
        <v>232</v>
      </c>
      <c r="E229" t="s">
        <v>1145</v>
      </c>
      <c r="F229" t="s">
        <v>54</v>
      </c>
      <c r="G229" t="s">
        <v>1146</v>
      </c>
      <c r="H229" t="s">
        <v>1147</v>
      </c>
      <c r="I229" t="s">
        <v>39</v>
      </c>
      <c r="J229" t="s">
        <v>129</v>
      </c>
      <c r="K229" t="s">
        <v>1148</v>
      </c>
      <c r="L229" t="s">
        <v>30</v>
      </c>
      <c r="M229" t="s">
        <v>31</v>
      </c>
      <c r="N229" t="s">
        <v>1149</v>
      </c>
      <c r="O229" s="2">
        <v>23</v>
      </c>
      <c r="P229">
        <v>3</v>
      </c>
      <c r="Q229" s="3">
        <v>0</v>
      </c>
      <c r="R229" s="2">
        <v>1.38</v>
      </c>
      <c r="S229" s="2">
        <v>1.55</v>
      </c>
      <c r="T229" t="s">
        <v>33</v>
      </c>
      <c r="U229">
        <v>2014</v>
      </c>
    </row>
    <row r="230" spans="1:21" x14ac:dyDescent="0.3">
      <c r="A230" t="s">
        <v>1150</v>
      </c>
      <c r="B230" s="1">
        <v>40997</v>
      </c>
      <c r="C230" s="1">
        <v>41000</v>
      </c>
      <c r="D230" t="s">
        <v>84</v>
      </c>
      <c r="E230" t="s">
        <v>1151</v>
      </c>
      <c r="F230" t="s">
        <v>54</v>
      </c>
      <c r="G230" t="s">
        <v>1152</v>
      </c>
      <c r="H230" t="s">
        <v>1111</v>
      </c>
      <c r="I230" t="s">
        <v>88</v>
      </c>
      <c r="J230" t="s">
        <v>88</v>
      </c>
      <c r="K230" t="s">
        <v>1153</v>
      </c>
      <c r="L230" t="s">
        <v>30</v>
      </c>
      <c r="M230" t="s">
        <v>90</v>
      </c>
      <c r="N230" t="s">
        <v>1154</v>
      </c>
      <c r="O230" s="2">
        <v>15</v>
      </c>
      <c r="P230">
        <v>1</v>
      </c>
      <c r="Q230" s="3">
        <v>0</v>
      </c>
      <c r="R230" s="2">
        <v>2.61</v>
      </c>
      <c r="S230" s="2">
        <v>3.06</v>
      </c>
      <c r="T230" t="s">
        <v>99</v>
      </c>
      <c r="U230">
        <v>2012</v>
      </c>
    </row>
    <row r="231" spans="1:21" x14ac:dyDescent="0.3">
      <c r="A231" t="s">
        <v>1155</v>
      </c>
      <c r="B231" s="1">
        <v>41277</v>
      </c>
      <c r="C231" s="1">
        <v>41279</v>
      </c>
      <c r="D231" t="s">
        <v>45</v>
      </c>
      <c r="E231" t="s">
        <v>1156</v>
      </c>
      <c r="F231" t="s">
        <v>54</v>
      </c>
      <c r="G231" t="s">
        <v>204</v>
      </c>
      <c r="H231" t="s">
        <v>205</v>
      </c>
      <c r="I231" t="s">
        <v>49</v>
      </c>
      <c r="J231" t="s">
        <v>57</v>
      </c>
      <c r="K231" t="s">
        <v>1157</v>
      </c>
      <c r="L231" t="s">
        <v>30</v>
      </c>
      <c r="M231" t="s">
        <v>105</v>
      </c>
      <c r="N231" t="s">
        <v>1158</v>
      </c>
      <c r="O231" s="2">
        <v>83</v>
      </c>
      <c r="P231">
        <v>5</v>
      </c>
      <c r="Q231" s="3">
        <v>0</v>
      </c>
      <c r="R231" s="2">
        <v>2.4</v>
      </c>
      <c r="S231" s="2">
        <v>19.670000000000002</v>
      </c>
      <c r="T231" t="s">
        <v>68</v>
      </c>
      <c r="U231">
        <v>2013</v>
      </c>
    </row>
    <row r="232" spans="1:21" x14ac:dyDescent="0.3">
      <c r="A232" t="s">
        <v>1159</v>
      </c>
      <c r="B232" s="1">
        <v>40985</v>
      </c>
      <c r="C232" s="1">
        <v>40990</v>
      </c>
      <c r="D232" t="s">
        <v>45</v>
      </c>
      <c r="E232" t="s">
        <v>1160</v>
      </c>
      <c r="F232" t="s">
        <v>24</v>
      </c>
      <c r="G232" t="s">
        <v>395</v>
      </c>
      <c r="H232" t="s">
        <v>135</v>
      </c>
      <c r="I232" t="s">
        <v>136</v>
      </c>
      <c r="J232" t="s">
        <v>396</v>
      </c>
      <c r="K232" t="s">
        <v>1161</v>
      </c>
      <c r="L232" t="s">
        <v>30</v>
      </c>
      <c r="M232" t="s">
        <v>66</v>
      </c>
      <c r="N232" t="s">
        <v>1162</v>
      </c>
      <c r="O232" s="2">
        <v>34</v>
      </c>
      <c r="P232">
        <v>2</v>
      </c>
      <c r="Q232" s="3">
        <v>0</v>
      </c>
      <c r="R232" s="2">
        <v>9.1313999999999993</v>
      </c>
      <c r="S232" s="2">
        <v>3.43</v>
      </c>
      <c r="T232" t="s">
        <v>33</v>
      </c>
      <c r="U232">
        <v>2012</v>
      </c>
    </row>
    <row r="233" spans="1:21" x14ac:dyDescent="0.3">
      <c r="A233" t="s">
        <v>1163</v>
      </c>
      <c r="B233" s="1">
        <v>41356</v>
      </c>
      <c r="C233" s="1">
        <v>41361</v>
      </c>
      <c r="D233" t="s">
        <v>45</v>
      </c>
      <c r="E233" t="s">
        <v>862</v>
      </c>
      <c r="F233" t="s">
        <v>54</v>
      </c>
      <c r="G233" t="s">
        <v>1164</v>
      </c>
      <c r="H233" t="s">
        <v>38</v>
      </c>
      <c r="I233" t="s">
        <v>39</v>
      </c>
      <c r="J233" t="s">
        <v>40</v>
      </c>
      <c r="K233" t="s">
        <v>1165</v>
      </c>
      <c r="L233" t="s">
        <v>30</v>
      </c>
      <c r="M233" t="s">
        <v>66</v>
      </c>
      <c r="N233" t="s">
        <v>1166</v>
      </c>
      <c r="O233" s="2">
        <v>284</v>
      </c>
      <c r="P233">
        <v>3</v>
      </c>
      <c r="Q233" s="3">
        <v>0</v>
      </c>
      <c r="R233" s="2">
        <v>113.64</v>
      </c>
      <c r="S233" s="2">
        <v>10.72</v>
      </c>
      <c r="T233" t="s">
        <v>33</v>
      </c>
      <c r="U233">
        <v>2013</v>
      </c>
    </row>
    <row r="234" spans="1:21" x14ac:dyDescent="0.3">
      <c r="A234" t="s">
        <v>1167</v>
      </c>
      <c r="B234" s="1">
        <v>41715</v>
      </c>
      <c r="C234" s="1">
        <v>41716</v>
      </c>
      <c r="D234" t="s">
        <v>84</v>
      </c>
      <c r="E234" t="s">
        <v>789</v>
      </c>
      <c r="F234" t="s">
        <v>36</v>
      </c>
      <c r="G234" t="s">
        <v>1168</v>
      </c>
      <c r="H234" t="s">
        <v>110</v>
      </c>
      <c r="I234" t="s">
        <v>88</v>
      </c>
      <c r="J234" t="s">
        <v>88</v>
      </c>
      <c r="K234" t="s">
        <v>1169</v>
      </c>
      <c r="L234" t="s">
        <v>59</v>
      </c>
      <c r="M234" t="s">
        <v>60</v>
      </c>
      <c r="N234" t="s">
        <v>1170</v>
      </c>
      <c r="O234" s="2">
        <v>55</v>
      </c>
      <c r="P234">
        <v>1</v>
      </c>
      <c r="Q234" s="3">
        <v>0</v>
      </c>
      <c r="R234" s="2">
        <v>18.72</v>
      </c>
      <c r="S234" s="2">
        <v>11.86</v>
      </c>
      <c r="T234" t="s">
        <v>99</v>
      </c>
      <c r="U234">
        <v>2014</v>
      </c>
    </row>
    <row r="235" spans="1:21" x14ac:dyDescent="0.3">
      <c r="A235" t="s">
        <v>1171</v>
      </c>
      <c r="B235" s="1">
        <v>40546</v>
      </c>
      <c r="C235" s="1">
        <v>40551</v>
      </c>
      <c r="D235" t="s">
        <v>45</v>
      </c>
      <c r="E235" t="s">
        <v>1172</v>
      </c>
      <c r="F235" t="s">
        <v>24</v>
      </c>
      <c r="G235" t="s">
        <v>1173</v>
      </c>
      <c r="H235" t="s">
        <v>269</v>
      </c>
      <c r="I235" t="s">
        <v>88</v>
      </c>
      <c r="J235" t="s">
        <v>88</v>
      </c>
      <c r="K235" t="s">
        <v>1174</v>
      </c>
      <c r="L235" t="s">
        <v>30</v>
      </c>
      <c r="M235" t="s">
        <v>90</v>
      </c>
      <c r="N235" t="s">
        <v>226</v>
      </c>
      <c r="O235" s="2">
        <v>52</v>
      </c>
      <c r="P235">
        <v>1</v>
      </c>
      <c r="Q235" s="3">
        <v>0</v>
      </c>
      <c r="R235" s="2">
        <v>7.77</v>
      </c>
      <c r="S235" s="2">
        <v>5.91</v>
      </c>
      <c r="T235" t="s">
        <v>99</v>
      </c>
      <c r="U235">
        <v>2011</v>
      </c>
    </row>
    <row r="236" spans="1:21" x14ac:dyDescent="0.3">
      <c r="A236" t="s">
        <v>1175</v>
      </c>
      <c r="B236" s="1">
        <v>41976</v>
      </c>
      <c r="C236" s="1">
        <v>41976</v>
      </c>
      <c r="D236" t="s">
        <v>232</v>
      </c>
      <c r="E236" t="s">
        <v>902</v>
      </c>
      <c r="F236" t="s">
        <v>54</v>
      </c>
      <c r="G236" t="s">
        <v>1176</v>
      </c>
      <c r="H236" t="s">
        <v>1177</v>
      </c>
      <c r="I236" t="s">
        <v>27</v>
      </c>
      <c r="J236" t="s">
        <v>28</v>
      </c>
      <c r="K236" t="s">
        <v>1178</v>
      </c>
      <c r="L236" t="s">
        <v>30</v>
      </c>
      <c r="M236" t="s">
        <v>90</v>
      </c>
      <c r="N236" t="s">
        <v>1179</v>
      </c>
      <c r="O236" s="2">
        <v>63</v>
      </c>
      <c r="P236">
        <v>3</v>
      </c>
      <c r="Q236" s="3">
        <v>0.17</v>
      </c>
      <c r="R236" s="2">
        <v>2.2814999999999999</v>
      </c>
      <c r="S236" s="2">
        <v>0.66</v>
      </c>
      <c r="T236" t="s">
        <v>99</v>
      </c>
      <c r="U236">
        <v>2014</v>
      </c>
    </row>
    <row r="237" spans="1:21" x14ac:dyDescent="0.3">
      <c r="A237" t="s">
        <v>1180</v>
      </c>
      <c r="B237" s="1">
        <v>41002</v>
      </c>
      <c r="C237" s="1">
        <v>41006</v>
      </c>
      <c r="D237" t="s">
        <v>22</v>
      </c>
      <c r="E237" t="s">
        <v>1181</v>
      </c>
      <c r="F237" t="s">
        <v>54</v>
      </c>
      <c r="G237" t="s">
        <v>1182</v>
      </c>
      <c r="H237" t="s">
        <v>1183</v>
      </c>
      <c r="I237" t="s">
        <v>88</v>
      </c>
      <c r="J237" t="s">
        <v>88</v>
      </c>
      <c r="K237" t="s">
        <v>1184</v>
      </c>
      <c r="L237" t="s">
        <v>146</v>
      </c>
      <c r="M237" t="s">
        <v>347</v>
      </c>
      <c r="N237" t="s">
        <v>1185</v>
      </c>
      <c r="O237" s="2">
        <v>214</v>
      </c>
      <c r="P237">
        <v>2</v>
      </c>
      <c r="Q237" s="3">
        <v>0.7</v>
      </c>
      <c r="R237" s="2">
        <v>-320.32799999999997</v>
      </c>
      <c r="S237" s="2">
        <v>16.84</v>
      </c>
      <c r="T237" t="s">
        <v>99</v>
      </c>
      <c r="U237">
        <v>2012</v>
      </c>
    </row>
    <row r="238" spans="1:21" x14ac:dyDescent="0.3">
      <c r="A238" t="s">
        <v>1186</v>
      </c>
      <c r="B238" s="1">
        <v>41458</v>
      </c>
      <c r="C238" s="1">
        <v>41459</v>
      </c>
      <c r="D238" t="s">
        <v>84</v>
      </c>
      <c r="E238" t="s">
        <v>717</v>
      </c>
      <c r="F238" t="s">
        <v>24</v>
      </c>
      <c r="G238" t="s">
        <v>569</v>
      </c>
      <c r="H238" t="s">
        <v>135</v>
      </c>
      <c r="I238" t="s">
        <v>136</v>
      </c>
      <c r="J238" t="s">
        <v>57</v>
      </c>
      <c r="K238" t="s">
        <v>1187</v>
      </c>
      <c r="L238" t="s">
        <v>59</v>
      </c>
      <c r="M238" t="s">
        <v>139</v>
      </c>
      <c r="N238" t="s">
        <v>1188</v>
      </c>
      <c r="O238" s="2">
        <v>528</v>
      </c>
      <c r="P238">
        <v>5</v>
      </c>
      <c r="Q238" s="3">
        <v>0.3</v>
      </c>
      <c r="R238" s="2">
        <v>0</v>
      </c>
      <c r="S238" s="2">
        <v>88.68</v>
      </c>
      <c r="T238" t="s">
        <v>99</v>
      </c>
      <c r="U238">
        <v>2013</v>
      </c>
    </row>
    <row r="239" spans="1:21" x14ac:dyDescent="0.3">
      <c r="A239" t="s">
        <v>1189</v>
      </c>
      <c r="B239" s="1">
        <v>41717</v>
      </c>
      <c r="C239" s="1">
        <v>41718</v>
      </c>
      <c r="D239" t="s">
        <v>84</v>
      </c>
      <c r="E239" t="s">
        <v>1190</v>
      </c>
      <c r="F239" t="s">
        <v>24</v>
      </c>
      <c r="G239" t="s">
        <v>1191</v>
      </c>
      <c r="H239" t="s">
        <v>637</v>
      </c>
      <c r="I239" t="s">
        <v>88</v>
      </c>
      <c r="J239" t="s">
        <v>88</v>
      </c>
      <c r="K239" t="s">
        <v>1192</v>
      </c>
      <c r="L239" t="s">
        <v>30</v>
      </c>
      <c r="M239" t="s">
        <v>31</v>
      </c>
      <c r="N239" t="s">
        <v>1193</v>
      </c>
      <c r="O239" s="2">
        <v>14</v>
      </c>
      <c r="P239">
        <v>1</v>
      </c>
      <c r="Q239" s="3">
        <v>0</v>
      </c>
      <c r="R239" s="2">
        <v>4.08</v>
      </c>
      <c r="S239" s="2">
        <v>1.0900000000000001</v>
      </c>
      <c r="T239" t="s">
        <v>33</v>
      </c>
      <c r="U239">
        <v>2014</v>
      </c>
    </row>
    <row r="240" spans="1:21" x14ac:dyDescent="0.3">
      <c r="A240" t="s">
        <v>1194</v>
      </c>
      <c r="B240" s="1">
        <v>41216</v>
      </c>
      <c r="C240" s="1">
        <v>41220</v>
      </c>
      <c r="D240" t="s">
        <v>22</v>
      </c>
      <c r="E240" t="s">
        <v>1195</v>
      </c>
      <c r="F240" t="s">
        <v>24</v>
      </c>
      <c r="G240" t="s">
        <v>816</v>
      </c>
      <c r="H240" t="s">
        <v>817</v>
      </c>
      <c r="I240" t="s">
        <v>88</v>
      </c>
      <c r="J240" t="s">
        <v>88</v>
      </c>
      <c r="K240" t="s">
        <v>1196</v>
      </c>
      <c r="L240" t="s">
        <v>30</v>
      </c>
      <c r="M240" t="s">
        <v>31</v>
      </c>
      <c r="N240" t="s">
        <v>1197</v>
      </c>
      <c r="O240" s="2">
        <v>15</v>
      </c>
      <c r="P240">
        <v>2</v>
      </c>
      <c r="Q240" s="3">
        <v>0</v>
      </c>
      <c r="R240" s="2">
        <v>5.04</v>
      </c>
      <c r="S240" s="2">
        <v>2.04</v>
      </c>
      <c r="T240" t="s">
        <v>99</v>
      </c>
      <c r="U240">
        <v>2012</v>
      </c>
    </row>
    <row r="241" spans="1:21" x14ac:dyDescent="0.3">
      <c r="A241" t="s">
        <v>1198</v>
      </c>
      <c r="B241" s="1">
        <v>41885</v>
      </c>
      <c r="C241" s="1">
        <v>41889</v>
      </c>
      <c r="D241" t="s">
        <v>22</v>
      </c>
      <c r="E241" t="s">
        <v>1199</v>
      </c>
      <c r="F241" t="s">
        <v>54</v>
      </c>
      <c r="G241" t="s">
        <v>1200</v>
      </c>
      <c r="H241" t="s">
        <v>1111</v>
      </c>
      <c r="I241" t="s">
        <v>88</v>
      </c>
      <c r="J241" t="s">
        <v>88</v>
      </c>
      <c r="K241" t="s">
        <v>1201</v>
      </c>
      <c r="L241" t="s">
        <v>146</v>
      </c>
      <c r="M241" t="s">
        <v>195</v>
      </c>
      <c r="N241" t="s">
        <v>1202</v>
      </c>
      <c r="O241" s="2">
        <v>49</v>
      </c>
      <c r="P241">
        <v>1</v>
      </c>
      <c r="Q241" s="3">
        <v>0</v>
      </c>
      <c r="R241" s="2">
        <v>16.05</v>
      </c>
      <c r="S241" s="2">
        <v>2.35</v>
      </c>
      <c r="T241" t="s">
        <v>33</v>
      </c>
      <c r="U241">
        <v>2014</v>
      </c>
    </row>
    <row r="242" spans="1:21" x14ac:dyDescent="0.3">
      <c r="A242" t="s">
        <v>1203</v>
      </c>
      <c r="B242" s="1">
        <v>41364</v>
      </c>
      <c r="C242" s="1">
        <v>41366</v>
      </c>
      <c r="D242" t="s">
        <v>84</v>
      </c>
      <c r="E242" t="s">
        <v>1204</v>
      </c>
      <c r="F242" t="s">
        <v>24</v>
      </c>
      <c r="G242" t="s">
        <v>1205</v>
      </c>
      <c r="H242" t="s">
        <v>135</v>
      </c>
      <c r="I242" t="s">
        <v>136</v>
      </c>
      <c r="J242" t="s">
        <v>396</v>
      </c>
      <c r="K242" t="s">
        <v>1206</v>
      </c>
      <c r="L242" t="s">
        <v>30</v>
      </c>
      <c r="M242" t="s">
        <v>105</v>
      </c>
      <c r="N242" t="s">
        <v>1207</v>
      </c>
      <c r="O242" s="2">
        <v>11</v>
      </c>
      <c r="P242">
        <v>1</v>
      </c>
      <c r="Q242" s="3">
        <v>0</v>
      </c>
      <c r="R242" s="2">
        <v>5.5566000000000004</v>
      </c>
      <c r="S242" s="2">
        <v>2.0099999999999998</v>
      </c>
      <c r="T242" t="s">
        <v>99</v>
      </c>
      <c r="U242">
        <v>2013</v>
      </c>
    </row>
    <row r="243" spans="1:21" x14ac:dyDescent="0.3">
      <c r="A243" t="s">
        <v>1208</v>
      </c>
      <c r="B243" s="1">
        <v>41915</v>
      </c>
      <c r="C243" s="1">
        <v>41915</v>
      </c>
      <c r="D243" t="s">
        <v>232</v>
      </c>
      <c r="E243" t="s">
        <v>1209</v>
      </c>
      <c r="F243" t="s">
        <v>54</v>
      </c>
      <c r="G243" t="s">
        <v>1210</v>
      </c>
      <c r="H243" t="s">
        <v>1147</v>
      </c>
      <c r="I243" t="s">
        <v>39</v>
      </c>
      <c r="J243" t="s">
        <v>129</v>
      </c>
      <c r="K243" t="s">
        <v>1211</v>
      </c>
      <c r="L243" t="s">
        <v>59</v>
      </c>
      <c r="M243" t="s">
        <v>139</v>
      </c>
      <c r="N243" t="s">
        <v>664</v>
      </c>
      <c r="O243" s="2">
        <v>73</v>
      </c>
      <c r="P243">
        <v>2</v>
      </c>
      <c r="Q243" s="3">
        <v>0.2</v>
      </c>
      <c r="R243" s="2">
        <v>19.928000000000001</v>
      </c>
      <c r="S243" s="2">
        <v>5.89</v>
      </c>
      <c r="T243" t="s">
        <v>99</v>
      </c>
      <c r="U243">
        <v>2014</v>
      </c>
    </row>
    <row r="244" spans="1:21" x14ac:dyDescent="0.3">
      <c r="A244" t="s">
        <v>1212</v>
      </c>
      <c r="B244" s="1">
        <v>41716</v>
      </c>
      <c r="C244" s="1">
        <v>41721</v>
      </c>
      <c r="D244" t="s">
        <v>22</v>
      </c>
      <c r="E244" t="s">
        <v>1213</v>
      </c>
      <c r="F244" t="s">
        <v>54</v>
      </c>
      <c r="G244" t="s">
        <v>1214</v>
      </c>
      <c r="H244" t="s">
        <v>152</v>
      </c>
      <c r="I244" t="s">
        <v>27</v>
      </c>
      <c r="J244" t="s">
        <v>153</v>
      </c>
      <c r="K244" t="s">
        <v>1215</v>
      </c>
      <c r="L244" t="s">
        <v>59</v>
      </c>
      <c r="M244" t="s">
        <v>339</v>
      </c>
      <c r="N244" t="s">
        <v>1216</v>
      </c>
      <c r="O244" s="2">
        <v>822</v>
      </c>
      <c r="P244">
        <v>2</v>
      </c>
      <c r="Q244" s="3">
        <v>0</v>
      </c>
      <c r="R244" s="2">
        <v>123.36</v>
      </c>
      <c r="S244" s="2">
        <v>45.16</v>
      </c>
      <c r="T244" t="s">
        <v>33</v>
      </c>
      <c r="U244">
        <v>2014</v>
      </c>
    </row>
    <row r="245" spans="1:21" x14ac:dyDescent="0.3">
      <c r="A245" t="s">
        <v>1217</v>
      </c>
      <c r="B245" s="1">
        <v>41363</v>
      </c>
      <c r="C245" s="1">
        <v>41368</v>
      </c>
      <c r="D245" t="s">
        <v>45</v>
      </c>
      <c r="E245" t="s">
        <v>1218</v>
      </c>
      <c r="F245" t="s">
        <v>36</v>
      </c>
      <c r="G245" t="s">
        <v>1219</v>
      </c>
      <c r="H245" t="s">
        <v>524</v>
      </c>
      <c r="I245" t="s">
        <v>39</v>
      </c>
      <c r="J245" t="s">
        <v>40</v>
      </c>
      <c r="K245" t="s">
        <v>1220</v>
      </c>
      <c r="L245" t="s">
        <v>30</v>
      </c>
      <c r="M245" t="s">
        <v>97</v>
      </c>
      <c r="N245" t="s">
        <v>1221</v>
      </c>
      <c r="O245" s="2">
        <v>20</v>
      </c>
      <c r="P245">
        <v>3</v>
      </c>
      <c r="Q245" s="3">
        <v>0.4</v>
      </c>
      <c r="R245" s="2">
        <v>-6.8520000000000003</v>
      </c>
      <c r="S245" s="2">
        <v>1.77</v>
      </c>
      <c r="T245" t="s">
        <v>33</v>
      </c>
      <c r="U245">
        <v>2013</v>
      </c>
    </row>
    <row r="246" spans="1:21" x14ac:dyDescent="0.3">
      <c r="A246" t="s">
        <v>1222</v>
      </c>
      <c r="B246" s="1">
        <v>41246</v>
      </c>
      <c r="C246" s="1">
        <v>41252</v>
      </c>
      <c r="D246" t="s">
        <v>22</v>
      </c>
      <c r="E246" t="s">
        <v>1223</v>
      </c>
      <c r="F246" t="s">
        <v>54</v>
      </c>
      <c r="G246" t="s">
        <v>1224</v>
      </c>
      <c r="H246" t="s">
        <v>402</v>
      </c>
      <c r="I246" t="s">
        <v>39</v>
      </c>
      <c r="J246" t="s">
        <v>236</v>
      </c>
      <c r="K246" t="s">
        <v>1225</v>
      </c>
      <c r="L246" t="s">
        <v>146</v>
      </c>
      <c r="M246" t="s">
        <v>347</v>
      </c>
      <c r="N246" t="s">
        <v>1226</v>
      </c>
      <c r="O246" s="2">
        <v>392</v>
      </c>
      <c r="P246">
        <v>4</v>
      </c>
      <c r="Q246" s="3">
        <v>2E-3</v>
      </c>
      <c r="R246" s="2">
        <v>65.934399999999997</v>
      </c>
      <c r="S246" s="2">
        <v>30.22</v>
      </c>
      <c r="T246" t="s">
        <v>33</v>
      </c>
      <c r="U246">
        <v>2012</v>
      </c>
    </row>
    <row r="247" spans="1:21" x14ac:dyDescent="0.3">
      <c r="A247" t="s">
        <v>1227</v>
      </c>
      <c r="B247" s="1">
        <v>40997</v>
      </c>
      <c r="C247" s="1">
        <v>40999</v>
      </c>
      <c r="D247" t="s">
        <v>45</v>
      </c>
      <c r="E247" t="s">
        <v>1228</v>
      </c>
      <c r="F247" t="s">
        <v>24</v>
      </c>
      <c r="G247" t="s">
        <v>1229</v>
      </c>
      <c r="H247" t="s">
        <v>435</v>
      </c>
      <c r="I247" t="s">
        <v>117</v>
      </c>
      <c r="J247" t="s">
        <v>117</v>
      </c>
      <c r="K247" t="s">
        <v>1230</v>
      </c>
      <c r="L247" t="s">
        <v>30</v>
      </c>
      <c r="M247" t="s">
        <v>42</v>
      </c>
      <c r="N247" t="s">
        <v>1231</v>
      </c>
      <c r="O247" s="2">
        <v>1078</v>
      </c>
      <c r="P247">
        <v>2</v>
      </c>
      <c r="Q247" s="3">
        <v>0</v>
      </c>
      <c r="R247" s="2">
        <v>323.39999999999998</v>
      </c>
      <c r="S247" s="2">
        <v>150.41</v>
      </c>
      <c r="T247" t="s">
        <v>99</v>
      </c>
      <c r="U247">
        <v>2012</v>
      </c>
    </row>
    <row r="248" spans="1:21" x14ac:dyDescent="0.3">
      <c r="A248" t="s">
        <v>1232</v>
      </c>
      <c r="B248" s="1">
        <v>41718</v>
      </c>
      <c r="C248" s="1">
        <v>41720</v>
      </c>
      <c r="D248" t="s">
        <v>84</v>
      </c>
      <c r="E248" t="s">
        <v>256</v>
      </c>
      <c r="F248" t="s">
        <v>24</v>
      </c>
      <c r="G248" t="s">
        <v>1233</v>
      </c>
      <c r="H248" t="s">
        <v>1234</v>
      </c>
      <c r="I248" t="s">
        <v>117</v>
      </c>
      <c r="J248" t="s">
        <v>117</v>
      </c>
      <c r="K248" t="s">
        <v>1235</v>
      </c>
      <c r="L248" t="s">
        <v>30</v>
      </c>
      <c r="M248" t="s">
        <v>97</v>
      </c>
      <c r="N248" t="s">
        <v>1236</v>
      </c>
      <c r="O248" s="2">
        <v>135</v>
      </c>
      <c r="P248">
        <v>8</v>
      </c>
      <c r="Q248" s="3">
        <v>0</v>
      </c>
      <c r="R248" s="2">
        <v>40.32</v>
      </c>
      <c r="S248" s="2">
        <v>14.88</v>
      </c>
      <c r="T248" t="s">
        <v>99</v>
      </c>
      <c r="U248">
        <v>2014</v>
      </c>
    </row>
    <row r="249" spans="1:21" x14ac:dyDescent="0.3">
      <c r="A249" t="s">
        <v>1237</v>
      </c>
      <c r="B249" s="1">
        <v>41717</v>
      </c>
      <c r="C249" s="1">
        <v>41721</v>
      </c>
      <c r="D249" t="s">
        <v>45</v>
      </c>
      <c r="E249" t="s">
        <v>1131</v>
      </c>
      <c r="F249" t="s">
        <v>36</v>
      </c>
      <c r="G249" t="s">
        <v>1238</v>
      </c>
      <c r="H249" t="s">
        <v>637</v>
      </c>
      <c r="I249" t="s">
        <v>88</v>
      </c>
      <c r="J249" t="s">
        <v>88</v>
      </c>
      <c r="K249" t="s">
        <v>1239</v>
      </c>
      <c r="L249" t="s">
        <v>146</v>
      </c>
      <c r="M249" t="s">
        <v>147</v>
      </c>
      <c r="N249" t="s">
        <v>1240</v>
      </c>
      <c r="O249" s="2">
        <v>2571</v>
      </c>
      <c r="P249">
        <v>4</v>
      </c>
      <c r="Q249" s="3">
        <v>0</v>
      </c>
      <c r="R249" s="2">
        <v>976.8</v>
      </c>
      <c r="S249" s="2">
        <v>357.89</v>
      </c>
      <c r="T249" t="s">
        <v>33</v>
      </c>
      <c r="U249">
        <v>2014</v>
      </c>
    </row>
    <row r="250" spans="1:21" x14ac:dyDescent="0.3">
      <c r="A250" t="s">
        <v>1241</v>
      </c>
      <c r="B250" s="1">
        <v>40987</v>
      </c>
      <c r="C250" s="1">
        <v>40993</v>
      </c>
      <c r="D250" t="s">
        <v>22</v>
      </c>
      <c r="E250" t="s">
        <v>1242</v>
      </c>
      <c r="F250" t="s">
        <v>36</v>
      </c>
      <c r="G250" t="s">
        <v>1089</v>
      </c>
      <c r="H250" t="s">
        <v>135</v>
      </c>
      <c r="I250" t="s">
        <v>136</v>
      </c>
      <c r="J250" t="s">
        <v>137</v>
      </c>
      <c r="K250" t="s">
        <v>1243</v>
      </c>
      <c r="L250" t="s">
        <v>146</v>
      </c>
      <c r="M250" t="s">
        <v>147</v>
      </c>
      <c r="N250" t="s">
        <v>1244</v>
      </c>
      <c r="O250" s="2">
        <v>454</v>
      </c>
      <c r="P250">
        <v>3</v>
      </c>
      <c r="Q250" s="3">
        <v>0.2</v>
      </c>
      <c r="R250" s="2">
        <v>39.687899999999999</v>
      </c>
      <c r="S250" s="2">
        <v>31.48</v>
      </c>
      <c r="T250" t="s">
        <v>33</v>
      </c>
      <c r="U250">
        <v>2012</v>
      </c>
    </row>
    <row r="251" spans="1:21" x14ac:dyDescent="0.3">
      <c r="A251" t="s">
        <v>1245</v>
      </c>
      <c r="B251" s="1">
        <v>40619</v>
      </c>
      <c r="C251" s="1">
        <v>40623</v>
      </c>
      <c r="D251" t="s">
        <v>22</v>
      </c>
      <c r="E251" t="s">
        <v>601</v>
      </c>
      <c r="F251" t="s">
        <v>24</v>
      </c>
      <c r="G251" t="s">
        <v>395</v>
      </c>
      <c r="H251" t="s">
        <v>135</v>
      </c>
      <c r="I251" t="s">
        <v>136</v>
      </c>
      <c r="J251" t="s">
        <v>396</v>
      </c>
      <c r="K251" t="s">
        <v>1246</v>
      </c>
      <c r="L251" t="s">
        <v>59</v>
      </c>
      <c r="M251" t="s">
        <v>329</v>
      </c>
      <c r="N251" t="s">
        <v>1247</v>
      </c>
      <c r="O251" s="2">
        <v>1580</v>
      </c>
      <c r="P251">
        <v>7</v>
      </c>
      <c r="Q251" s="3">
        <v>0.4</v>
      </c>
      <c r="R251" s="2">
        <v>-447.59469999999999</v>
      </c>
      <c r="S251" s="2">
        <v>101.14</v>
      </c>
      <c r="T251" t="s">
        <v>33</v>
      </c>
      <c r="U251">
        <v>2011</v>
      </c>
    </row>
    <row r="252" spans="1:21" x14ac:dyDescent="0.3">
      <c r="A252" t="s">
        <v>1248</v>
      </c>
      <c r="B252" s="1">
        <v>40666</v>
      </c>
      <c r="C252" s="1">
        <v>40668</v>
      </c>
      <c r="D252" t="s">
        <v>84</v>
      </c>
      <c r="E252" t="s">
        <v>1249</v>
      </c>
      <c r="F252" t="s">
        <v>54</v>
      </c>
      <c r="G252" t="s">
        <v>697</v>
      </c>
      <c r="H252" t="s">
        <v>654</v>
      </c>
      <c r="I252" t="s">
        <v>117</v>
      </c>
      <c r="J252" t="s">
        <v>117</v>
      </c>
      <c r="K252" t="s">
        <v>1250</v>
      </c>
      <c r="L252" t="s">
        <v>59</v>
      </c>
      <c r="M252" t="s">
        <v>60</v>
      </c>
      <c r="N252" t="s">
        <v>1251</v>
      </c>
      <c r="O252" s="2">
        <v>24</v>
      </c>
      <c r="P252">
        <v>1</v>
      </c>
      <c r="Q252" s="3">
        <v>0</v>
      </c>
      <c r="R252" s="2">
        <v>2.85</v>
      </c>
      <c r="S252" s="2">
        <v>7.14</v>
      </c>
      <c r="T252" t="s">
        <v>68</v>
      </c>
      <c r="U252">
        <v>2011</v>
      </c>
    </row>
    <row r="253" spans="1:21" x14ac:dyDescent="0.3">
      <c r="A253" t="s">
        <v>892</v>
      </c>
      <c r="B253" s="1">
        <v>41716</v>
      </c>
      <c r="C253" s="1">
        <v>41720</v>
      </c>
      <c r="D253" t="s">
        <v>22</v>
      </c>
      <c r="E253" t="s">
        <v>547</v>
      </c>
      <c r="F253" t="s">
        <v>54</v>
      </c>
      <c r="G253" t="s">
        <v>893</v>
      </c>
      <c r="H253" t="s">
        <v>894</v>
      </c>
      <c r="I253" t="s">
        <v>117</v>
      </c>
      <c r="J253" t="s">
        <v>117</v>
      </c>
      <c r="K253" t="s">
        <v>1252</v>
      </c>
      <c r="L253" t="s">
        <v>30</v>
      </c>
      <c r="M253" t="s">
        <v>31</v>
      </c>
      <c r="N253" t="s">
        <v>1253</v>
      </c>
      <c r="O253" s="2">
        <v>26</v>
      </c>
      <c r="P253">
        <v>2</v>
      </c>
      <c r="Q253" s="3">
        <v>0</v>
      </c>
      <c r="R253" s="2">
        <v>1.8</v>
      </c>
      <c r="S253" s="2">
        <v>1.39</v>
      </c>
      <c r="T253" t="s">
        <v>33</v>
      </c>
      <c r="U253">
        <v>2014</v>
      </c>
    </row>
    <row r="254" spans="1:21" x14ac:dyDescent="0.3">
      <c r="A254" t="s">
        <v>1254</v>
      </c>
      <c r="B254" s="1">
        <v>41384</v>
      </c>
      <c r="C254" s="1">
        <v>41389</v>
      </c>
      <c r="D254" t="s">
        <v>22</v>
      </c>
      <c r="E254" t="s">
        <v>1255</v>
      </c>
      <c r="F254" t="s">
        <v>54</v>
      </c>
      <c r="G254" t="s">
        <v>1256</v>
      </c>
      <c r="H254" t="s">
        <v>38</v>
      </c>
      <c r="I254" t="s">
        <v>39</v>
      </c>
      <c r="J254" t="s">
        <v>40</v>
      </c>
      <c r="K254" t="s">
        <v>1257</v>
      </c>
      <c r="L254" t="s">
        <v>30</v>
      </c>
      <c r="M254" t="s">
        <v>410</v>
      </c>
      <c r="N254" t="s">
        <v>1258</v>
      </c>
      <c r="O254" s="2">
        <v>79</v>
      </c>
      <c r="P254">
        <v>3</v>
      </c>
      <c r="Q254" s="3">
        <v>0</v>
      </c>
      <c r="R254" s="2">
        <v>13.38</v>
      </c>
      <c r="S254" s="2">
        <v>6.94</v>
      </c>
      <c r="T254" t="s">
        <v>33</v>
      </c>
      <c r="U254">
        <v>2013</v>
      </c>
    </row>
    <row r="255" spans="1:21" x14ac:dyDescent="0.3">
      <c r="A255" t="s">
        <v>1259</v>
      </c>
      <c r="B255" s="1">
        <v>41745</v>
      </c>
      <c r="C255" s="1">
        <v>41749</v>
      </c>
      <c r="D255" t="s">
        <v>22</v>
      </c>
      <c r="E255" t="s">
        <v>1260</v>
      </c>
      <c r="F255" t="s">
        <v>54</v>
      </c>
      <c r="G255" t="s">
        <v>1261</v>
      </c>
      <c r="H255" t="s">
        <v>205</v>
      </c>
      <c r="I255" t="s">
        <v>49</v>
      </c>
      <c r="J255" t="s">
        <v>57</v>
      </c>
      <c r="K255" t="s">
        <v>1262</v>
      </c>
      <c r="L255" t="s">
        <v>30</v>
      </c>
      <c r="M255" t="s">
        <v>370</v>
      </c>
      <c r="N255" t="s">
        <v>1263</v>
      </c>
      <c r="O255" s="2">
        <v>107</v>
      </c>
      <c r="P255">
        <v>3</v>
      </c>
      <c r="Q255" s="3">
        <v>0</v>
      </c>
      <c r="R255" s="2">
        <v>37.26</v>
      </c>
      <c r="S255" s="2">
        <v>19.059999999999999</v>
      </c>
      <c r="T255" t="s">
        <v>99</v>
      </c>
      <c r="U255">
        <v>2014</v>
      </c>
    </row>
    <row r="256" spans="1:21" x14ac:dyDescent="0.3">
      <c r="A256" t="s">
        <v>1264</v>
      </c>
      <c r="B256" s="1">
        <v>41643</v>
      </c>
      <c r="C256" s="1">
        <v>41647</v>
      </c>
      <c r="D256" t="s">
        <v>22</v>
      </c>
      <c r="E256" t="s">
        <v>1265</v>
      </c>
      <c r="F256" t="s">
        <v>54</v>
      </c>
      <c r="G256" t="s">
        <v>134</v>
      </c>
      <c r="H256" t="s">
        <v>135</v>
      </c>
      <c r="I256" t="s">
        <v>136</v>
      </c>
      <c r="J256" t="s">
        <v>137</v>
      </c>
      <c r="K256" t="s">
        <v>1266</v>
      </c>
      <c r="L256" t="s">
        <v>30</v>
      </c>
      <c r="M256" t="s">
        <v>31</v>
      </c>
      <c r="N256" t="s">
        <v>1267</v>
      </c>
      <c r="O256" s="2">
        <v>2022</v>
      </c>
      <c r="P256">
        <v>8</v>
      </c>
      <c r="Q256" s="3">
        <v>0.2</v>
      </c>
      <c r="R256" s="2">
        <v>682.51679999999999</v>
      </c>
      <c r="S256" s="2">
        <v>215.83</v>
      </c>
      <c r="T256" t="s">
        <v>33</v>
      </c>
      <c r="U256">
        <v>2014</v>
      </c>
    </row>
    <row r="257" spans="1:21" x14ac:dyDescent="0.3">
      <c r="A257" t="s">
        <v>1268</v>
      </c>
      <c r="B257" s="1">
        <v>41429</v>
      </c>
      <c r="C257" s="1">
        <v>41435</v>
      </c>
      <c r="D257" t="s">
        <v>22</v>
      </c>
      <c r="E257" t="s">
        <v>1269</v>
      </c>
      <c r="F257" t="s">
        <v>54</v>
      </c>
      <c r="G257" t="s">
        <v>1270</v>
      </c>
      <c r="H257" t="s">
        <v>1147</v>
      </c>
      <c r="I257" t="s">
        <v>39</v>
      </c>
      <c r="J257" t="s">
        <v>129</v>
      </c>
      <c r="K257" t="s">
        <v>1271</v>
      </c>
      <c r="L257" t="s">
        <v>30</v>
      </c>
      <c r="M257" t="s">
        <v>410</v>
      </c>
      <c r="N257" t="s">
        <v>1272</v>
      </c>
      <c r="O257" s="2">
        <v>23</v>
      </c>
      <c r="P257">
        <v>2</v>
      </c>
      <c r="Q257" s="3">
        <v>0</v>
      </c>
      <c r="R257" s="2">
        <v>6.04</v>
      </c>
      <c r="S257" s="2">
        <v>3.27</v>
      </c>
      <c r="T257" t="s">
        <v>77</v>
      </c>
      <c r="U257">
        <v>2013</v>
      </c>
    </row>
    <row r="258" spans="1:21" x14ac:dyDescent="0.3">
      <c r="A258" t="s">
        <v>1273</v>
      </c>
      <c r="B258" s="1">
        <v>40658</v>
      </c>
      <c r="C258" s="1">
        <v>40663</v>
      </c>
      <c r="D258" t="s">
        <v>22</v>
      </c>
      <c r="E258" t="s">
        <v>228</v>
      </c>
      <c r="F258" t="s">
        <v>24</v>
      </c>
      <c r="G258" t="s">
        <v>1238</v>
      </c>
      <c r="H258" t="s">
        <v>637</v>
      </c>
      <c r="I258" t="s">
        <v>88</v>
      </c>
      <c r="J258" t="s">
        <v>88</v>
      </c>
      <c r="K258" t="s">
        <v>1274</v>
      </c>
      <c r="L258" t="s">
        <v>146</v>
      </c>
      <c r="M258" t="s">
        <v>195</v>
      </c>
      <c r="N258" t="s">
        <v>1275</v>
      </c>
      <c r="O258" s="2">
        <v>121</v>
      </c>
      <c r="P258">
        <v>1</v>
      </c>
      <c r="Q258" s="3">
        <v>0</v>
      </c>
      <c r="R258" s="2">
        <v>31.41</v>
      </c>
      <c r="S258" s="2">
        <v>4.99</v>
      </c>
      <c r="T258" t="s">
        <v>33</v>
      </c>
      <c r="U258">
        <v>2011</v>
      </c>
    </row>
    <row r="259" spans="1:21" x14ac:dyDescent="0.3">
      <c r="A259" t="s">
        <v>1276</v>
      </c>
      <c r="B259" s="1">
        <v>41733</v>
      </c>
      <c r="C259" s="1">
        <v>41736</v>
      </c>
      <c r="D259" t="s">
        <v>45</v>
      </c>
      <c r="E259" t="s">
        <v>309</v>
      </c>
      <c r="F259" t="s">
        <v>36</v>
      </c>
      <c r="G259" t="s">
        <v>337</v>
      </c>
      <c r="H259" t="s">
        <v>316</v>
      </c>
      <c r="I259" t="s">
        <v>27</v>
      </c>
      <c r="J259" t="s">
        <v>212</v>
      </c>
      <c r="K259" t="s">
        <v>1277</v>
      </c>
      <c r="L259" t="s">
        <v>30</v>
      </c>
      <c r="M259" t="s">
        <v>90</v>
      </c>
      <c r="N259" t="s">
        <v>1066</v>
      </c>
      <c r="O259" s="2">
        <v>26</v>
      </c>
      <c r="P259">
        <v>2</v>
      </c>
      <c r="Q259" s="3">
        <v>0</v>
      </c>
      <c r="R259" s="2">
        <v>4.4400000000000004</v>
      </c>
      <c r="S259" s="2">
        <v>3.04</v>
      </c>
      <c r="T259" t="s">
        <v>99</v>
      </c>
      <c r="U259">
        <v>2014</v>
      </c>
    </row>
    <row r="260" spans="1:21" x14ac:dyDescent="0.3">
      <c r="A260" t="s">
        <v>1278</v>
      </c>
      <c r="B260" s="1">
        <v>41384</v>
      </c>
      <c r="C260" s="1">
        <v>41389</v>
      </c>
      <c r="D260" t="s">
        <v>45</v>
      </c>
      <c r="E260" t="s">
        <v>1279</v>
      </c>
      <c r="F260" t="s">
        <v>54</v>
      </c>
      <c r="G260" t="s">
        <v>134</v>
      </c>
      <c r="H260" t="s">
        <v>135</v>
      </c>
      <c r="I260" t="s">
        <v>136</v>
      </c>
      <c r="J260" t="s">
        <v>137</v>
      </c>
      <c r="K260" t="s">
        <v>1280</v>
      </c>
      <c r="L260" t="s">
        <v>30</v>
      </c>
      <c r="M260" t="s">
        <v>31</v>
      </c>
      <c r="N260" t="s">
        <v>1281</v>
      </c>
      <c r="O260" s="2">
        <v>6</v>
      </c>
      <c r="P260">
        <v>1</v>
      </c>
      <c r="Q260" s="3">
        <v>0.2</v>
      </c>
      <c r="R260" s="2">
        <v>1.9710000000000001</v>
      </c>
      <c r="S260" s="2">
        <v>0.13</v>
      </c>
      <c r="T260" t="s">
        <v>33</v>
      </c>
      <c r="U260">
        <v>2013</v>
      </c>
    </row>
    <row r="261" spans="1:21" x14ac:dyDescent="0.3">
      <c r="A261" t="s">
        <v>1282</v>
      </c>
      <c r="B261" s="1">
        <v>41386</v>
      </c>
      <c r="C261" s="1">
        <v>41391</v>
      </c>
      <c r="D261" t="s">
        <v>22</v>
      </c>
      <c r="E261" t="s">
        <v>1283</v>
      </c>
      <c r="F261" t="s">
        <v>24</v>
      </c>
      <c r="G261" t="s">
        <v>1284</v>
      </c>
      <c r="H261" t="s">
        <v>116</v>
      </c>
      <c r="I261" t="s">
        <v>117</v>
      </c>
      <c r="J261" t="s">
        <v>117</v>
      </c>
      <c r="K261" t="s">
        <v>1285</v>
      </c>
      <c r="L261" t="s">
        <v>30</v>
      </c>
      <c r="M261" t="s">
        <v>75</v>
      </c>
      <c r="N261" t="s">
        <v>1286</v>
      </c>
      <c r="O261" s="2">
        <v>9</v>
      </c>
      <c r="P261">
        <v>1</v>
      </c>
      <c r="Q261" s="3">
        <v>0</v>
      </c>
      <c r="R261" s="2">
        <v>2.7</v>
      </c>
      <c r="S261" s="2">
        <v>0.98</v>
      </c>
      <c r="T261" t="s">
        <v>33</v>
      </c>
      <c r="U261">
        <v>2013</v>
      </c>
    </row>
    <row r="262" spans="1:21" x14ac:dyDescent="0.3">
      <c r="A262" t="s">
        <v>1287</v>
      </c>
      <c r="B262" s="1">
        <v>41156</v>
      </c>
      <c r="C262" s="1">
        <v>41160</v>
      </c>
      <c r="D262" t="s">
        <v>22</v>
      </c>
      <c r="E262" t="s">
        <v>1204</v>
      </c>
      <c r="F262" t="s">
        <v>24</v>
      </c>
      <c r="G262" t="s">
        <v>1288</v>
      </c>
      <c r="H262" t="s">
        <v>269</v>
      </c>
      <c r="I262" t="s">
        <v>88</v>
      </c>
      <c r="J262" t="s">
        <v>88</v>
      </c>
      <c r="K262" t="s">
        <v>1289</v>
      </c>
      <c r="L262" t="s">
        <v>59</v>
      </c>
      <c r="M262" t="s">
        <v>329</v>
      </c>
      <c r="N262" t="s">
        <v>1290</v>
      </c>
      <c r="O262" s="2">
        <v>1718</v>
      </c>
      <c r="P262">
        <v>2</v>
      </c>
      <c r="Q262" s="3">
        <v>0</v>
      </c>
      <c r="R262" s="2">
        <v>68.7</v>
      </c>
      <c r="S262" s="2">
        <v>196.23</v>
      </c>
      <c r="T262" t="s">
        <v>99</v>
      </c>
      <c r="U262">
        <v>2012</v>
      </c>
    </row>
    <row r="263" spans="1:21" x14ac:dyDescent="0.3">
      <c r="A263" t="s">
        <v>1291</v>
      </c>
      <c r="B263" s="1">
        <v>40659</v>
      </c>
      <c r="C263" s="1">
        <v>40662</v>
      </c>
      <c r="D263" t="s">
        <v>45</v>
      </c>
      <c r="E263" t="s">
        <v>1292</v>
      </c>
      <c r="F263" t="s">
        <v>36</v>
      </c>
      <c r="G263" t="s">
        <v>728</v>
      </c>
      <c r="H263" t="s">
        <v>87</v>
      </c>
      <c r="I263" t="s">
        <v>88</v>
      </c>
      <c r="J263" t="s">
        <v>88</v>
      </c>
      <c r="K263" t="s">
        <v>1293</v>
      </c>
      <c r="L263" t="s">
        <v>146</v>
      </c>
      <c r="M263" t="s">
        <v>271</v>
      </c>
      <c r="N263" t="s">
        <v>777</v>
      </c>
      <c r="O263" s="2">
        <v>413</v>
      </c>
      <c r="P263">
        <v>4</v>
      </c>
      <c r="Q263" s="3">
        <v>0.6</v>
      </c>
      <c r="R263" s="2">
        <v>-392.04</v>
      </c>
      <c r="S263" s="2">
        <v>61.42</v>
      </c>
      <c r="T263" t="s">
        <v>99</v>
      </c>
      <c r="U263">
        <v>2011</v>
      </c>
    </row>
    <row r="264" spans="1:21" x14ac:dyDescent="0.3">
      <c r="A264" t="s">
        <v>1294</v>
      </c>
      <c r="B264" s="1">
        <v>41384</v>
      </c>
      <c r="C264" s="1">
        <v>41388</v>
      </c>
      <c r="D264" t="s">
        <v>22</v>
      </c>
      <c r="E264" t="s">
        <v>621</v>
      </c>
      <c r="F264" t="s">
        <v>36</v>
      </c>
      <c r="G264" t="s">
        <v>1295</v>
      </c>
      <c r="H264" t="s">
        <v>87</v>
      </c>
      <c r="I264" t="s">
        <v>88</v>
      </c>
      <c r="J264" t="s">
        <v>88</v>
      </c>
      <c r="K264" t="s">
        <v>1296</v>
      </c>
      <c r="L264" t="s">
        <v>30</v>
      </c>
      <c r="M264" t="s">
        <v>31</v>
      </c>
      <c r="N264" t="s">
        <v>1297</v>
      </c>
      <c r="O264" s="2">
        <v>140</v>
      </c>
      <c r="P264">
        <v>12</v>
      </c>
      <c r="Q264" s="3">
        <v>0.6</v>
      </c>
      <c r="R264" s="2">
        <v>-108.792</v>
      </c>
      <c r="S264" s="2">
        <v>7.77</v>
      </c>
      <c r="T264" t="s">
        <v>33</v>
      </c>
      <c r="U264">
        <v>2013</v>
      </c>
    </row>
    <row r="265" spans="1:21" x14ac:dyDescent="0.3">
      <c r="A265" t="s">
        <v>1298</v>
      </c>
      <c r="B265" s="1">
        <v>41754</v>
      </c>
      <c r="C265" s="1">
        <v>41760</v>
      </c>
      <c r="D265" t="s">
        <v>22</v>
      </c>
      <c r="E265" t="s">
        <v>862</v>
      </c>
      <c r="F265" t="s">
        <v>54</v>
      </c>
      <c r="G265" t="s">
        <v>1299</v>
      </c>
      <c r="H265" t="s">
        <v>875</v>
      </c>
      <c r="I265" t="s">
        <v>117</v>
      </c>
      <c r="J265" t="s">
        <v>117</v>
      </c>
      <c r="K265" t="s">
        <v>1300</v>
      </c>
      <c r="L265" t="s">
        <v>30</v>
      </c>
      <c r="M265" t="s">
        <v>31</v>
      </c>
      <c r="N265" t="s">
        <v>1301</v>
      </c>
      <c r="O265" s="2">
        <v>15</v>
      </c>
      <c r="P265">
        <v>1</v>
      </c>
      <c r="Q265" s="3">
        <v>0</v>
      </c>
      <c r="R265" s="2">
        <v>0.56999999999999995</v>
      </c>
      <c r="S265" s="2">
        <v>1.71</v>
      </c>
      <c r="T265" t="s">
        <v>33</v>
      </c>
      <c r="U265">
        <v>2014</v>
      </c>
    </row>
    <row r="266" spans="1:21" x14ac:dyDescent="0.3">
      <c r="A266" t="s">
        <v>1302</v>
      </c>
      <c r="B266" s="1">
        <v>41855</v>
      </c>
      <c r="C266" s="1">
        <v>41858</v>
      </c>
      <c r="D266" t="s">
        <v>45</v>
      </c>
      <c r="E266" t="s">
        <v>1303</v>
      </c>
      <c r="F266" t="s">
        <v>54</v>
      </c>
      <c r="G266" t="s">
        <v>127</v>
      </c>
      <c r="H266" t="s">
        <v>128</v>
      </c>
      <c r="I266" t="s">
        <v>49</v>
      </c>
      <c r="J266" t="s">
        <v>129</v>
      </c>
      <c r="K266" t="s">
        <v>1304</v>
      </c>
      <c r="L266" t="s">
        <v>30</v>
      </c>
      <c r="M266" t="s">
        <v>66</v>
      </c>
      <c r="N266" t="s">
        <v>1305</v>
      </c>
      <c r="O266" s="2">
        <v>23</v>
      </c>
      <c r="P266">
        <v>1</v>
      </c>
      <c r="Q266" s="3">
        <v>0</v>
      </c>
      <c r="R266" s="2">
        <v>7.65</v>
      </c>
      <c r="S266" s="2">
        <v>4.18</v>
      </c>
      <c r="T266" t="s">
        <v>99</v>
      </c>
      <c r="U266">
        <v>2014</v>
      </c>
    </row>
    <row r="267" spans="1:21" x14ac:dyDescent="0.3">
      <c r="A267" t="s">
        <v>1306</v>
      </c>
      <c r="B267" s="1">
        <v>41017</v>
      </c>
      <c r="C267" s="1">
        <v>41021</v>
      </c>
      <c r="D267" t="s">
        <v>45</v>
      </c>
      <c r="E267" t="s">
        <v>279</v>
      </c>
      <c r="F267" t="s">
        <v>24</v>
      </c>
      <c r="G267" t="s">
        <v>569</v>
      </c>
      <c r="H267" t="s">
        <v>135</v>
      </c>
      <c r="I267" t="s">
        <v>136</v>
      </c>
      <c r="J267" t="s">
        <v>57</v>
      </c>
      <c r="K267" t="s">
        <v>1307</v>
      </c>
      <c r="L267" t="s">
        <v>146</v>
      </c>
      <c r="M267" t="s">
        <v>147</v>
      </c>
      <c r="N267" t="s">
        <v>1308</v>
      </c>
      <c r="O267" s="2">
        <v>245</v>
      </c>
      <c r="P267">
        <v>4</v>
      </c>
      <c r="Q267" s="3">
        <v>0.2</v>
      </c>
      <c r="R267" s="2">
        <v>24.476800000000001</v>
      </c>
      <c r="S267" s="2">
        <v>64.52</v>
      </c>
      <c r="T267" t="s">
        <v>99</v>
      </c>
      <c r="U267">
        <v>2012</v>
      </c>
    </row>
    <row r="268" spans="1:21" x14ac:dyDescent="0.3">
      <c r="A268" t="s">
        <v>1309</v>
      </c>
      <c r="B268" s="1">
        <v>40851</v>
      </c>
      <c r="C268" s="1">
        <v>40854</v>
      </c>
      <c r="D268" t="s">
        <v>45</v>
      </c>
      <c r="E268" t="s">
        <v>1310</v>
      </c>
      <c r="F268" t="s">
        <v>54</v>
      </c>
      <c r="G268" t="s">
        <v>1044</v>
      </c>
      <c r="H268" t="s">
        <v>844</v>
      </c>
      <c r="I268" t="s">
        <v>39</v>
      </c>
      <c r="J268" t="s">
        <v>57</v>
      </c>
      <c r="K268" t="s">
        <v>1311</v>
      </c>
      <c r="L268" t="s">
        <v>30</v>
      </c>
      <c r="M268" t="s">
        <v>42</v>
      </c>
      <c r="N268" t="s">
        <v>1312</v>
      </c>
      <c r="O268" s="2">
        <v>1086</v>
      </c>
      <c r="P268">
        <v>3</v>
      </c>
      <c r="Q268" s="3">
        <v>0</v>
      </c>
      <c r="R268" s="2">
        <v>32.58</v>
      </c>
      <c r="S268" s="2">
        <v>55.81</v>
      </c>
      <c r="T268" t="s">
        <v>33</v>
      </c>
      <c r="U268">
        <v>2011</v>
      </c>
    </row>
    <row r="269" spans="1:21" x14ac:dyDescent="0.3">
      <c r="A269" t="s">
        <v>1313</v>
      </c>
      <c r="B269" s="1">
        <v>41015</v>
      </c>
      <c r="C269" s="1">
        <v>41017</v>
      </c>
      <c r="D269" t="s">
        <v>84</v>
      </c>
      <c r="E269" t="s">
        <v>1314</v>
      </c>
      <c r="F269" t="s">
        <v>54</v>
      </c>
      <c r="G269" t="s">
        <v>529</v>
      </c>
      <c r="H269" t="s">
        <v>135</v>
      </c>
      <c r="I269" t="s">
        <v>136</v>
      </c>
      <c r="J269" t="s">
        <v>40</v>
      </c>
      <c r="K269" t="s">
        <v>1315</v>
      </c>
      <c r="L269" t="s">
        <v>146</v>
      </c>
      <c r="M269" t="s">
        <v>147</v>
      </c>
      <c r="N269" t="s">
        <v>1316</v>
      </c>
      <c r="O269" s="2">
        <v>570</v>
      </c>
      <c r="P269">
        <v>2</v>
      </c>
      <c r="Q269" s="3">
        <v>0</v>
      </c>
      <c r="R269" s="2">
        <v>148.10640000000001</v>
      </c>
      <c r="S269" s="2">
        <v>1.91</v>
      </c>
      <c r="T269" t="s">
        <v>33</v>
      </c>
      <c r="U269">
        <v>2012</v>
      </c>
    </row>
    <row r="270" spans="1:21" x14ac:dyDescent="0.3">
      <c r="A270" t="s">
        <v>1317</v>
      </c>
      <c r="B270" s="1">
        <v>41024</v>
      </c>
      <c r="C270" s="1">
        <v>41027</v>
      </c>
      <c r="D270" t="s">
        <v>84</v>
      </c>
      <c r="E270" t="s">
        <v>1318</v>
      </c>
      <c r="F270" t="s">
        <v>54</v>
      </c>
      <c r="G270" t="s">
        <v>395</v>
      </c>
      <c r="H270" t="s">
        <v>135</v>
      </c>
      <c r="I270" t="s">
        <v>136</v>
      </c>
      <c r="J270" t="s">
        <v>396</v>
      </c>
      <c r="K270" t="s">
        <v>1319</v>
      </c>
      <c r="L270" t="s">
        <v>30</v>
      </c>
      <c r="M270" t="s">
        <v>42</v>
      </c>
      <c r="N270" t="s">
        <v>1320</v>
      </c>
      <c r="O270" s="2">
        <v>206</v>
      </c>
      <c r="P270">
        <v>3</v>
      </c>
      <c r="Q270" s="3">
        <v>0</v>
      </c>
      <c r="R270" s="2">
        <v>90.8292</v>
      </c>
      <c r="S270" s="2">
        <v>8.77</v>
      </c>
      <c r="T270" t="s">
        <v>33</v>
      </c>
      <c r="U270">
        <v>2012</v>
      </c>
    </row>
    <row r="271" spans="1:21" x14ac:dyDescent="0.3">
      <c r="A271" t="s">
        <v>1321</v>
      </c>
      <c r="B271" s="1">
        <v>41377</v>
      </c>
      <c r="C271" s="1">
        <v>41379</v>
      </c>
      <c r="D271" t="s">
        <v>84</v>
      </c>
      <c r="E271" t="s">
        <v>222</v>
      </c>
      <c r="F271" t="s">
        <v>54</v>
      </c>
      <c r="G271" t="s">
        <v>134</v>
      </c>
      <c r="H271" t="s">
        <v>135</v>
      </c>
      <c r="I271" t="s">
        <v>136</v>
      </c>
      <c r="J271" t="s">
        <v>137</v>
      </c>
      <c r="K271" t="s">
        <v>1322</v>
      </c>
      <c r="L271" t="s">
        <v>30</v>
      </c>
      <c r="M271" t="s">
        <v>105</v>
      </c>
      <c r="N271" t="s">
        <v>1323</v>
      </c>
      <c r="O271" s="2">
        <v>19</v>
      </c>
      <c r="P271">
        <v>3</v>
      </c>
      <c r="Q271" s="3">
        <v>0</v>
      </c>
      <c r="R271" s="2">
        <v>9.3312000000000008</v>
      </c>
      <c r="S271" s="2">
        <v>1.77</v>
      </c>
      <c r="T271" t="s">
        <v>33</v>
      </c>
      <c r="U271">
        <v>2013</v>
      </c>
    </row>
    <row r="272" spans="1:21" x14ac:dyDescent="0.3">
      <c r="A272" t="s">
        <v>1324</v>
      </c>
      <c r="B272" s="1">
        <v>41947</v>
      </c>
      <c r="C272" s="1">
        <v>41952</v>
      </c>
      <c r="D272" t="s">
        <v>22</v>
      </c>
      <c r="E272" t="s">
        <v>1085</v>
      </c>
      <c r="F272" t="s">
        <v>54</v>
      </c>
      <c r="G272" t="s">
        <v>37</v>
      </c>
      <c r="H272" t="s">
        <v>38</v>
      </c>
      <c r="I272" t="s">
        <v>39</v>
      </c>
      <c r="J272" t="s">
        <v>40</v>
      </c>
      <c r="K272" t="s">
        <v>1325</v>
      </c>
      <c r="L272" t="s">
        <v>146</v>
      </c>
      <c r="M272" t="s">
        <v>147</v>
      </c>
      <c r="N272" t="s">
        <v>1326</v>
      </c>
      <c r="O272" s="2">
        <v>252</v>
      </c>
      <c r="P272">
        <v>3</v>
      </c>
      <c r="Q272" s="3">
        <v>0</v>
      </c>
      <c r="R272" s="2">
        <v>73.08</v>
      </c>
      <c r="S272" s="2">
        <v>17.8</v>
      </c>
      <c r="T272" t="s">
        <v>33</v>
      </c>
      <c r="U272">
        <v>2014</v>
      </c>
    </row>
    <row r="273" spans="1:21" x14ac:dyDescent="0.3">
      <c r="A273" t="s">
        <v>1327</v>
      </c>
      <c r="B273" s="1">
        <v>41747</v>
      </c>
      <c r="C273" s="1">
        <v>41749</v>
      </c>
      <c r="D273" t="s">
        <v>84</v>
      </c>
      <c r="E273" t="s">
        <v>1328</v>
      </c>
      <c r="F273" t="s">
        <v>24</v>
      </c>
      <c r="G273" t="s">
        <v>64</v>
      </c>
      <c r="H273" t="s">
        <v>56</v>
      </c>
      <c r="I273" t="s">
        <v>49</v>
      </c>
      <c r="J273" t="s">
        <v>57</v>
      </c>
      <c r="K273" t="s">
        <v>1329</v>
      </c>
      <c r="L273" t="s">
        <v>59</v>
      </c>
      <c r="M273" t="s">
        <v>60</v>
      </c>
      <c r="N273" t="s">
        <v>1251</v>
      </c>
      <c r="O273" s="2">
        <v>95</v>
      </c>
      <c r="P273">
        <v>4</v>
      </c>
      <c r="Q273" s="3">
        <v>0</v>
      </c>
      <c r="R273" s="2">
        <v>11.4</v>
      </c>
      <c r="S273" s="2">
        <v>19.559999999999999</v>
      </c>
      <c r="T273" t="s">
        <v>99</v>
      </c>
      <c r="U273">
        <v>2014</v>
      </c>
    </row>
    <row r="274" spans="1:21" x14ac:dyDescent="0.3">
      <c r="A274" t="s">
        <v>1330</v>
      </c>
      <c r="B274" s="1">
        <v>40652</v>
      </c>
      <c r="C274" s="1">
        <v>40655</v>
      </c>
      <c r="D274" t="s">
        <v>45</v>
      </c>
      <c r="E274" t="s">
        <v>1331</v>
      </c>
      <c r="F274" t="s">
        <v>54</v>
      </c>
      <c r="G274" t="s">
        <v>1332</v>
      </c>
      <c r="H274" t="s">
        <v>72</v>
      </c>
      <c r="I274" t="s">
        <v>27</v>
      </c>
      <c r="J274" t="s">
        <v>73</v>
      </c>
      <c r="K274" t="s">
        <v>1333</v>
      </c>
      <c r="L274" t="s">
        <v>59</v>
      </c>
      <c r="M274" t="s">
        <v>60</v>
      </c>
      <c r="N274" t="s">
        <v>1334</v>
      </c>
      <c r="O274" s="2">
        <v>132</v>
      </c>
      <c r="P274">
        <v>3</v>
      </c>
      <c r="Q274" s="3">
        <v>0</v>
      </c>
      <c r="R274" s="2">
        <v>54.09</v>
      </c>
      <c r="S274" s="2">
        <v>18.440000000000001</v>
      </c>
      <c r="T274" t="s">
        <v>33</v>
      </c>
      <c r="U274">
        <v>2011</v>
      </c>
    </row>
    <row r="275" spans="1:21" x14ac:dyDescent="0.3">
      <c r="A275" t="s">
        <v>1335</v>
      </c>
      <c r="B275" s="1">
        <v>41459</v>
      </c>
      <c r="C275" s="1">
        <v>41459</v>
      </c>
      <c r="D275" t="s">
        <v>232</v>
      </c>
      <c r="E275" t="s">
        <v>1336</v>
      </c>
      <c r="F275" t="s">
        <v>54</v>
      </c>
      <c r="G275" t="s">
        <v>1337</v>
      </c>
      <c r="H275" t="s">
        <v>26</v>
      </c>
      <c r="I275" t="s">
        <v>27</v>
      </c>
      <c r="J275" t="s">
        <v>28</v>
      </c>
      <c r="K275" t="s">
        <v>1338</v>
      </c>
      <c r="L275" t="s">
        <v>59</v>
      </c>
      <c r="M275" t="s">
        <v>339</v>
      </c>
      <c r="N275" t="s">
        <v>1339</v>
      </c>
      <c r="O275" s="2">
        <v>315</v>
      </c>
      <c r="P275">
        <v>2</v>
      </c>
      <c r="Q275" s="3">
        <v>7.0000000000000007E-2</v>
      </c>
      <c r="R275" s="2">
        <v>125.271</v>
      </c>
      <c r="S275" s="2">
        <v>33.67</v>
      </c>
      <c r="T275" t="s">
        <v>99</v>
      </c>
      <c r="U275">
        <v>2013</v>
      </c>
    </row>
    <row r="276" spans="1:21" x14ac:dyDescent="0.3">
      <c r="A276" t="s">
        <v>1340</v>
      </c>
      <c r="B276" s="1">
        <v>40658</v>
      </c>
      <c r="C276" s="1">
        <v>40663</v>
      </c>
      <c r="D276" t="s">
        <v>22</v>
      </c>
      <c r="E276" t="s">
        <v>85</v>
      </c>
      <c r="F276" t="s">
        <v>54</v>
      </c>
      <c r="G276" t="s">
        <v>1341</v>
      </c>
      <c r="H276" t="s">
        <v>817</v>
      </c>
      <c r="I276" t="s">
        <v>88</v>
      </c>
      <c r="J276" t="s">
        <v>88</v>
      </c>
      <c r="K276" t="s">
        <v>1342</v>
      </c>
      <c r="L276" t="s">
        <v>30</v>
      </c>
      <c r="M276" t="s">
        <v>97</v>
      </c>
      <c r="N276" t="s">
        <v>1343</v>
      </c>
      <c r="O276" s="2">
        <v>14</v>
      </c>
      <c r="P276">
        <v>1</v>
      </c>
      <c r="Q276" s="3">
        <v>0</v>
      </c>
      <c r="R276" s="2">
        <v>0.84</v>
      </c>
      <c r="S276" s="2">
        <v>1.89</v>
      </c>
      <c r="T276" t="s">
        <v>99</v>
      </c>
      <c r="U276">
        <v>2011</v>
      </c>
    </row>
    <row r="277" spans="1:21" x14ac:dyDescent="0.3">
      <c r="A277" t="s">
        <v>1344</v>
      </c>
      <c r="B277" s="1">
        <v>41379</v>
      </c>
      <c r="C277" s="1">
        <v>41384</v>
      </c>
      <c r="D277" t="s">
        <v>22</v>
      </c>
      <c r="E277" t="s">
        <v>1345</v>
      </c>
      <c r="F277" t="s">
        <v>24</v>
      </c>
      <c r="G277" t="s">
        <v>579</v>
      </c>
      <c r="H277" t="s">
        <v>580</v>
      </c>
      <c r="I277" t="s">
        <v>39</v>
      </c>
      <c r="J277" t="s">
        <v>40</v>
      </c>
      <c r="K277" t="s">
        <v>1346</v>
      </c>
      <c r="L277" t="s">
        <v>30</v>
      </c>
      <c r="M277" t="s">
        <v>66</v>
      </c>
      <c r="N277" t="s">
        <v>1347</v>
      </c>
      <c r="O277" s="2">
        <v>65</v>
      </c>
      <c r="P277">
        <v>7</v>
      </c>
      <c r="Q277" s="3">
        <v>0.4</v>
      </c>
      <c r="R277" s="2">
        <v>-38.08</v>
      </c>
      <c r="S277" s="2">
        <v>1.91</v>
      </c>
      <c r="T277" t="s">
        <v>33</v>
      </c>
      <c r="U277">
        <v>2013</v>
      </c>
    </row>
    <row r="278" spans="1:21" x14ac:dyDescent="0.3">
      <c r="A278" t="s">
        <v>1348</v>
      </c>
      <c r="B278" s="1">
        <v>41033</v>
      </c>
      <c r="C278" s="1">
        <v>41039</v>
      </c>
      <c r="D278" t="s">
        <v>22</v>
      </c>
      <c r="E278" t="s">
        <v>606</v>
      </c>
      <c r="F278" t="s">
        <v>54</v>
      </c>
      <c r="G278" t="s">
        <v>1349</v>
      </c>
      <c r="H278" t="s">
        <v>1147</v>
      </c>
      <c r="I278" t="s">
        <v>39</v>
      </c>
      <c r="J278" t="s">
        <v>129</v>
      </c>
      <c r="K278" t="s">
        <v>1350</v>
      </c>
      <c r="L278" t="s">
        <v>59</v>
      </c>
      <c r="M278" t="s">
        <v>60</v>
      </c>
      <c r="N278" t="s">
        <v>1351</v>
      </c>
      <c r="O278" s="2">
        <v>45</v>
      </c>
      <c r="P278">
        <v>2</v>
      </c>
      <c r="Q278" s="3">
        <v>0.4</v>
      </c>
      <c r="R278" s="2">
        <v>-2.4E-2</v>
      </c>
      <c r="S278" s="2">
        <v>3.65</v>
      </c>
      <c r="T278" t="s">
        <v>33</v>
      </c>
      <c r="U278">
        <v>2012</v>
      </c>
    </row>
    <row r="279" spans="1:21" x14ac:dyDescent="0.3">
      <c r="A279" t="s">
        <v>1352</v>
      </c>
      <c r="B279" s="1">
        <v>41278</v>
      </c>
      <c r="C279" s="1">
        <v>41280</v>
      </c>
      <c r="D279" t="s">
        <v>45</v>
      </c>
      <c r="E279" t="s">
        <v>611</v>
      </c>
      <c r="F279" t="s">
        <v>36</v>
      </c>
      <c r="G279" t="s">
        <v>1353</v>
      </c>
      <c r="H279" t="s">
        <v>48</v>
      </c>
      <c r="I279" t="s">
        <v>49</v>
      </c>
      <c r="J279" t="s">
        <v>40</v>
      </c>
      <c r="K279" t="s">
        <v>1354</v>
      </c>
      <c r="L279" t="s">
        <v>30</v>
      </c>
      <c r="M279" t="s">
        <v>42</v>
      </c>
      <c r="N279" t="s">
        <v>1355</v>
      </c>
      <c r="O279" s="2">
        <v>2070</v>
      </c>
      <c r="P279">
        <v>4</v>
      </c>
      <c r="Q279" s="3">
        <v>0</v>
      </c>
      <c r="R279" s="2">
        <v>413.88</v>
      </c>
      <c r="S279" s="2">
        <v>132.18</v>
      </c>
      <c r="T279" t="s">
        <v>99</v>
      </c>
      <c r="U279">
        <v>2013</v>
      </c>
    </row>
    <row r="280" spans="1:21" x14ac:dyDescent="0.3">
      <c r="A280" t="s">
        <v>1356</v>
      </c>
      <c r="B280" s="1">
        <v>41012</v>
      </c>
      <c r="C280" s="1">
        <v>41013</v>
      </c>
      <c r="D280" t="s">
        <v>84</v>
      </c>
      <c r="E280" t="s">
        <v>1357</v>
      </c>
      <c r="F280" t="s">
        <v>36</v>
      </c>
      <c r="G280" t="s">
        <v>310</v>
      </c>
      <c r="H280" t="s">
        <v>135</v>
      </c>
      <c r="I280" t="s">
        <v>136</v>
      </c>
      <c r="J280" t="s">
        <v>137</v>
      </c>
      <c r="K280" t="s">
        <v>1358</v>
      </c>
      <c r="L280" t="s">
        <v>30</v>
      </c>
      <c r="M280" t="s">
        <v>105</v>
      </c>
      <c r="N280" t="s">
        <v>1359</v>
      </c>
      <c r="O280" s="2">
        <v>31</v>
      </c>
      <c r="P280">
        <v>6</v>
      </c>
      <c r="Q280" s="3">
        <v>0.2</v>
      </c>
      <c r="R280" s="2">
        <v>10.8864</v>
      </c>
      <c r="S280" s="2">
        <v>3.06</v>
      </c>
      <c r="T280" t="s">
        <v>33</v>
      </c>
      <c r="U280">
        <v>2012</v>
      </c>
    </row>
    <row r="281" spans="1:21" x14ac:dyDescent="0.3">
      <c r="A281" t="s">
        <v>1360</v>
      </c>
      <c r="B281" s="1">
        <v>40660</v>
      </c>
      <c r="C281" s="1">
        <v>40663</v>
      </c>
      <c r="D281" t="s">
        <v>84</v>
      </c>
      <c r="E281" t="s">
        <v>1361</v>
      </c>
      <c r="F281" t="s">
        <v>24</v>
      </c>
      <c r="G281" t="s">
        <v>1362</v>
      </c>
      <c r="H281" t="s">
        <v>1363</v>
      </c>
      <c r="I281" t="s">
        <v>117</v>
      </c>
      <c r="J281" t="s">
        <v>117</v>
      </c>
      <c r="K281" t="s">
        <v>1364</v>
      </c>
      <c r="L281" t="s">
        <v>30</v>
      </c>
      <c r="M281" t="s">
        <v>66</v>
      </c>
      <c r="N281" t="s">
        <v>1365</v>
      </c>
      <c r="O281" s="2">
        <v>128</v>
      </c>
      <c r="P281">
        <v>1</v>
      </c>
      <c r="Q281" s="3">
        <v>0</v>
      </c>
      <c r="R281" s="2">
        <v>55.17</v>
      </c>
      <c r="S281" s="2">
        <v>29.32</v>
      </c>
      <c r="T281" t="s">
        <v>99</v>
      </c>
      <c r="U281">
        <v>2011</v>
      </c>
    </row>
    <row r="282" spans="1:21" x14ac:dyDescent="0.3">
      <c r="A282" t="s">
        <v>1366</v>
      </c>
      <c r="B282" s="1">
        <v>41383</v>
      </c>
      <c r="C282" s="1">
        <v>41386</v>
      </c>
      <c r="D282" t="s">
        <v>84</v>
      </c>
      <c r="E282" t="s">
        <v>1367</v>
      </c>
      <c r="F282" t="s">
        <v>24</v>
      </c>
      <c r="G282" t="s">
        <v>204</v>
      </c>
      <c r="H282" t="s">
        <v>205</v>
      </c>
      <c r="I282" t="s">
        <v>49</v>
      </c>
      <c r="J282" t="s">
        <v>57</v>
      </c>
      <c r="K282" t="s">
        <v>1368</v>
      </c>
      <c r="L282" t="s">
        <v>30</v>
      </c>
      <c r="M282" t="s">
        <v>31</v>
      </c>
      <c r="N282" t="s">
        <v>1369</v>
      </c>
      <c r="O282" s="2">
        <v>40</v>
      </c>
      <c r="P282">
        <v>3</v>
      </c>
      <c r="Q282" s="3">
        <v>0</v>
      </c>
      <c r="R282" s="2">
        <v>1.17</v>
      </c>
      <c r="S282" s="2">
        <v>7.12</v>
      </c>
      <c r="T282" t="s">
        <v>99</v>
      </c>
      <c r="U282">
        <v>2013</v>
      </c>
    </row>
    <row r="283" spans="1:21" x14ac:dyDescent="0.3">
      <c r="A283" t="s">
        <v>1370</v>
      </c>
      <c r="B283" s="1">
        <v>41977</v>
      </c>
      <c r="C283" s="1">
        <v>41980</v>
      </c>
      <c r="D283" t="s">
        <v>84</v>
      </c>
      <c r="E283" t="s">
        <v>666</v>
      </c>
      <c r="F283" t="s">
        <v>54</v>
      </c>
      <c r="G283" t="s">
        <v>569</v>
      </c>
      <c r="H283" t="s">
        <v>135</v>
      </c>
      <c r="I283" t="s">
        <v>136</v>
      </c>
      <c r="J283" t="s">
        <v>57</v>
      </c>
      <c r="K283" t="s">
        <v>1371</v>
      </c>
      <c r="L283" t="s">
        <v>30</v>
      </c>
      <c r="M283" t="s">
        <v>105</v>
      </c>
      <c r="N283" t="s">
        <v>1372</v>
      </c>
      <c r="O283" s="2">
        <v>10</v>
      </c>
      <c r="P283">
        <v>2</v>
      </c>
      <c r="Q283" s="3">
        <v>0.2</v>
      </c>
      <c r="R283" s="2">
        <v>3.6288</v>
      </c>
      <c r="S283" s="2">
        <v>1.1000000000000001</v>
      </c>
      <c r="T283" t="s">
        <v>99</v>
      </c>
      <c r="U283">
        <v>2014</v>
      </c>
    </row>
    <row r="284" spans="1:21" x14ac:dyDescent="0.3">
      <c r="A284" t="s">
        <v>1373</v>
      </c>
      <c r="B284" s="1">
        <v>41855</v>
      </c>
      <c r="C284" s="1">
        <v>41859</v>
      </c>
      <c r="D284" t="s">
        <v>22</v>
      </c>
      <c r="E284" t="s">
        <v>1374</v>
      </c>
      <c r="F284" t="s">
        <v>24</v>
      </c>
      <c r="G284" t="s">
        <v>64</v>
      </c>
      <c r="H284" t="s">
        <v>56</v>
      </c>
      <c r="I284" t="s">
        <v>49</v>
      </c>
      <c r="J284" t="s">
        <v>57</v>
      </c>
      <c r="K284" t="s">
        <v>1375</v>
      </c>
      <c r="L284" t="s">
        <v>30</v>
      </c>
      <c r="M284" t="s">
        <v>370</v>
      </c>
      <c r="N284" t="s">
        <v>1376</v>
      </c>
      <c r="O284" s="2">
        <v>79</v>
      </c>
      <c r="P284">
        <v>4</v>
      </c>
      <c r="Q284" s="3">
        <v>0</v>
      </c>
      <c r="R284" s="2">
        <v>35.64</v>
      </c>
      <c r="S284" s="2">
        <v>1.75</v>
      </c>
      <c r="T284" t="s">
        <v>33</v>
      </c>
      <c r="U284">
        <v>2014</v>
      </c>
    </row>
    <row r="285" spans="1:21" x14ac:dyDescent="0.3">
      <c r="A285" t="s">
        <v>1377</v>
      </c>
      <c r="B285" s="1">
        <v>41429</v>
      </c>
      <c r="C285" s="1">
        <v>41433</v>
      </c>
      <c r="D285" t="s">
        <v>22</v>
      </c>
      <c r="E285" t="s">
        <v>1378</v>
      </c>
      <c r="F285" t="s">
        <v>54</v>
      </c>
      <c r="G285" t="s">
        <v>1379</v>
      </c>
      <c r="H285" t="s">
        <v>844</v>
      </c>
      <c r="I285" t="s">
        <v>39</v>
      </c>
      <c r="J285" t="s">
        <v>57</v>
      </c>
      <c r="K285" t="s">
        <v>1380</v>
      </c>
      <c r="L285" t="s">
        <v>59</v>
      </c>
      <c r="M285" t="s">
        <v>339</v>
      </c>
      <c r="N285" t="s">
        <v>1381</v>
      </c>
      <c r="O285" s="2">
        <v>411</v>
      </c>
      <c r="P285">
        <v>5</v>
      </c>
      <c r="Q285" s="3">
        <v>0</v>
      </c>
      <c r="R285" s="2">
        <v>86.3</v>
      </c>
      <c r="S285" s="2">
        <v>20.88</v>
      </c>
      <c r="T285" t="s">
        <v>33</v>
      </c>
      <c r="U285">
        <v>2013</v>
      </c>
    </row>
    <row r="286" spans="1:21" x14ac:dyDescent="0.3">
      <c r="A286" t="s">
        <v>1382</v>
      </c>
      <c r="B286" s="1">
        <v>41733</v>
      </c>
      <c r="C286" s="1">
        <v>41735</v>
      </c>
      <c r="D286" t="s">
        <v>45</v>
      </c>
      <c r="E286" t="s">
        <v>1383</v>
      </c>
      <c r="F286" t="s">
        <v>54</v>
      </c>
      <c r="G286" t="s">
        <v>708</v>
      </c>
      <c r="H286" t="s">
        <v>103</v>
      </c>
      <c r="I286" t="s">
        <v>39</v>
      </c>
      <c r="J286" t="s">
        <v>57</v>
      </c>
      <c r="K286" t="s">
        <v>1384</v>
      </c>
      <c r="L286" t="s">
        <v>30</v>
      </c>
      <c r="M286" t="s">
        <v>75</v>
      </c>
      <c r="N286" t="s">
        <v>1385</v>
      </c>
      <c r="O286" s="2">
        <v>9</v>
      </c>
      <c r="P286">
        <v>2</v>
      </c>
      <c r="Q286" s="3">
        <v>0.4</v>
      </c>
      <c r="R286" s="2">
        <v>-2.6320000000000001</v>
      </c>
      <c r="S286" s="2">
        <v>0.96</v>
      </c>
      <c r="T286" t="s">
        <v>33</v>
      </c>
      <c r="U286">
        <v>2014</v>
      </c>
    </row>
    <row r="287" spans="1:21" x14ac:dyDescent="0.3">
      <c r="A287" t="s">
        <v>1386</v>
      </c>
      <c r="B287" s="1">
        <v>41022</v>
      </c>
      <c r="C287" s="1">
        <v>41026</v>
      </c>
      <c r="D287" t="s">
        <v>22</v>
      </c>
      <c r="E287" t="s">
        <v>1204</v>
      </c>
      <c r="F287" t="s">
        <v>24</v>
      </c>
      <c r="G287" t="s">
        <v>854</v>
      </c>
      <c r="H287" t="s">
        <v>56</v>
      </c>
      <c r="I287" t="s">
        <v>49</v>
      </c>
      <c r="J287" t="s">
        <v>57</v>
      </c>
      <c r="K287" t="s">
        <v>1387</v>
      </c>
      <c r="L287" t="s">
        <v>30</v>
      </c>
      <c r="M287" t="s">
        <v>410</v>
      </c>
      <c r="N287" t="s">
        <v>1388</v>
      </c>
      <c r="O287" s="2">
        <v>333</v>
      </c>
      <c r="P287">
        <v>9</v>
      </c>
      <c r="Q287" s="3">
        <v>0</v>
      </c>
      <c r="R287" s="2">
        <v>76.41</v>
      </c>
      <c r="S287" s="2">
        <v>11.51</v>
      </c>
      <c r="T287" t="s">
        <v>33</v>
      </c>
      <c r="U287">
        <v>2012</v>
      </c>
    </row>
    <row r="288" spans="1:21" x14ac:dyDescent="0.3">
      <c r="A288" t="s">
        <v>1389</v>
      </c>
      <c r="B288" s="1">
        <v>41916</v>
      </c>
      <c r="C288" s="1">
        <v>41922</v>
      </c>
      <c r="D288" t="s">
        <v>22</v>
      </c>
      <c r="E288" t="s">
        <v>1390</v>
      </c>
      <c r="F288" t="s">
        <v>36</v>
      </c>
      <c r="G288" t="s">
        <v>1391</v>
      </c>
      <c r="H288" t="s">
        <v>408</v>
      </c>
      <c r="I288" t="s">
        <v>39</v>
      </c>
      <c r="J288" t="s">
        <v>40</v>
      </c>
      <c r="K288" t="s">
        <v>1392</v>
      </c>
      <c r="L288" t="s">
        <v>59</v>
      </c>
      <c r="M288" t="s">
        <v>60</v>
      </c>
      <c r="N288" t="s">
        <v>1393</v>
      </c>
      <c r="O288" s="2">
        <v>40</v>
      </c>
      <c r="P288">
        <v>4</v>
      </c>
      <c r="Q288" s="3">
        <v>0.4</v>
      </c>
      <c r="R288" s="2">
        <v>-7.44</v>
      </c>
      <c r="S288" s="2">
        <v>2.66</v>
      </c>
      <c r="T288" t="s">
        <v>33</v>
      </c>
      <c r="U288">
        <v>2014</v>
      </c>
    </row>
    <row r="289" spans="1:21" x14ac:dyDescent="0.3">
      <c r="A289" t="s">
        <v>1394</v>
      </c>
      <c r="B289" s="1">
        <v>41824</v>
      </c>
      <c r="C289" s="1">
        <v>41827</v>
      </c>
      <c r="D289" t="s">
        <v>45</v>
      </c>
      <c r="E289" t="s">
        <v>1395</v>
      </c>
      <c r="F289" t="s">
        <v>24</v>
      </c>
      <c r="G289" t="s">
        <v>569</v>
      </c>
      <c r="H289" t="s">
        <v>135</v>
      </c>
      <c r="I289" t="s">
        <v>136</v>
      </c>
      <c r="J289" t="s">
        <v>57</v>
      </c>
      <c r="K289" t="s">
        <v>1396</v>
      </c>
      <c r="L289" t="s">
        <v>146</v>
      </c>
      <c r="M289" t="s">
        <v>195</v>
      </c>
      <c r="N289" t="s">
        <v>1397</v>
      </c>
      <c r="O289" s="2">
        <v>597</v>
      </c>
      <c r="P289">
        <v>3</v>
      </c>
      <c r="Q289" s="3">
        <v>0.4</v>
      </c>
      <c r="R289" s="2">
        <v>49.761000000000003</v>
      </c>
      <c r="S289" s="2">
        <v>40.78</v>
      </c>
      <c r="T289" t="s">
        <v>33</v>
      </c>
      <c r="U289">
        <v>2014</v>
      </c>
    </row>
    <row r="290" spans="1:21" x14ac:dyDescent="0.3">
      <c r="A290" t="s">
        <v>1398</v>
      </c>
      <c r="B290" s="1">
        <v>40651</v>
      </c>
      <c r="C290" s="1">
        <v>40655</v>
      </c>
      <c r="D290" t="s">
        <v>22</v>
      </c>
      <c r="E290" t="s">
        <v>1399</v>
      </c>
      <c r="F290" t="s">
        <v>24</v>
      </c>
      <c r="G290" t="s">
        <v>1039</v>
      </c>
      <c r="H290" t="s">
        <v>205</v>
      </c>
      <c r="I290" t="s">
        <v>49</v>
      </c>
      <c r="J290" t="s">
        <v>57</v>
      </c>
      <c r="K290" t="s">
        <v>508</v>
      </c>
      <c r="L290" t="s">
        <v>30</v>
      </c>
      <c r="M290" t="s">
        <v>66</v>
      </c>
      <c r="N290" t="s">
        <v>509</v>
      </c>
      <c r="O290" s="2">
        <v>48</v>
      </c>
      <c r="P290">
        <v>2</v>
      </c>
      <c r="Q290" s="3">
        <v>0.1</v>
      </c>
      <c r="R290" s="2">
        <v>6.984</v>
      </c>
      <c r="S290" s="2">
        <v>3.6</v>
      </c>
      <c r="T290" t="s">
        <v>33</v>
      </c>
      <c r="U290">
        <v>2011</v>
      </c>
    </row>
    <row r="291" spans="1:21" x14ac:dyDescent="0.3">
      <c r="A291" t="s">
        <v>1400</v>
      </c>
      <c r="B291" s="1">
        <v>40651</v>
      </c>
      <c r="C291" s="1">
        <v>40655</v>
      </c>
      <c r="D291" t="s">
        <v>22</v>
      </c>
      <c r="E291" t="s">
        <v>305</v>
      </c>
      <c r="F291" t="s">
        <v>54</v>
      </c>
      <c r="G291" t="s">
        <v>569</v>
      </c>
      <c r="H291" t="s">
        <v>135</v>
      </c>
      <c r="I291" t="s">
        <v>136</v>
      </c>
      <c r="J291" t="s">
        <v>57</v>
      </c>
      <c r="K291" t="s">
        <v>498</v>
      </c>
      <c r="L291" t="s">
        <v>30</v>
      </c>
      <c r="M291" t="s">
        <v>90</v>
      </c>
      <c r="N291" t="s">
        <v>499</v>
      </c>
      <c r="O291" s="2">
        <v>3</v>
      </c>
      <c r="P291">
        <v>2</v>
      </c>
      <c r="Q291" s="3">
        <v>0.2</v>
      </c>
      <c r="R291" s="2">
        <v>1.008</v>
      </c>
      <c r="S291" s="2">
        <v>0.1</v>
      </c>
      <c r="T291" t="s">
        <v>33</v>
      </c>
      <c r="U291">
        <v>2011</v>
      </c>
    </row>
    <row r="292" spans="1:21" x14ac:dyDescent="0.3">
      <c r="A292" t="s">
        <v>1401</v>
      </c>
      <c r="B292" s="1">
        <v>40912</v>
      </c>
      <c r="C292" s="1">
        <v>40912</v>
      </c>
      <c r="D292" t="s">
        <v>232</v>
      </c>
      <c r="E292" t="s">
        <v>1402</v>
      </c>
      <c r="F292" t="s">
        <v>54</v>
      </c>
      <c r="G292" t="s">
        <v>384</v>
      </c>
      <c r="H292" t="s">
        <v>26</v>
      </c>
      <c r="I292" t="s">
        <v>27</v>
      </c>
      <c r="J292" t="s">
        <v>28</v>
      </c>
      <c r="K292" t="s">
        <v>1403</v>
      </c>
      <c r="L292" t="s">
        <v>30</v>
      </c>
      <c r="M292" t="s">
        <v>66</v>
      </c>
      <c r="N292" t="s">
        <v>1404</v>
      </c>
      <c r="O292" s="2">
        <v>143</v>
      </c>
      <c r="P292">
        <v>3</v>
      </c>
      <c r="Q292" s="3">
        <v>0.17</v>
      </c>
      <c r="R292" s="2">
        <v>48.205800000000004</v>
      </c>
      <c r="S292" s="2">
        <v>59.62</v>
      </c>
      <c r="T292" t="s">
        <v>68</v>
      </c>
      <c r="U292">
        <v>2012</v>
      </c>
    </row>
    <row r="293" spans="1:21" x14ac:dyDescent="0.3">
      <c r="A293" t="s">
        <v>1405</v>
      </c>
      <c r="B293" s="1">
        <v>41643</v>
      </c>
      <c r="C293" s="1">
        <v>41647</v>
      </c>
      <c r="D293" t="s">
        <v>22</v>
      </c>
      <c r="E293" t="s">
        <v>1406</v>
      </c>
      <c r="F293" t="s">
        <v>54</v>
      </c>
      <c r="G293" t="s">
        <v>440</v>
      </c>
      <c r="H293" t="s">
        <v>56</v>
      </c>
      <c r="I293" t="s">
        <v>49</v>
      </c>
      <c r="J293" t="s">
        <v>57</v>
      </c>
      <c r="K293" t="s">
        <v>1407</v>
      </c>
      <c r="L293" t="s">
        <v>30</v>
      </c>
      <c r="M293" t="s">
        <v>370</v>
      </c>
      <c r="N293" t="s">
        <v>1408</v>
      </c>
      <c r="O293" s="2">
        <v>46</v>
      </c>
      <c r="P293">
        <v>3</v>
      </c>
      <c r="Q293" s="3">
        <v>0</v>
      </c>
      <c r="R293" s="2">
        <v>0.9</v>
      </c>
      <c r="S293" s="2">
        <v>4.62</v>
      </c>
      <c r="T293" t="s">
        <v>33</v>
      </c>
      <c r="U293">
        <v>2014</v>
      </c>
    </row>
    <row r="294" spans="1:21" x14ac:dyDescent="0.3">
      <c r="A294" t="s">
        <v>1409</v>
      </c>
      <c r="B294" s="1">
        <v>41381</v>
      </c>
      <c r="C294" s="1">
        <v>41386</v>
      </c>
      <c r="D294" t="s">
        <v>45</v>
      </c>
      <c r="E294" t="s">
        <v>1410</v>
      </c>
      <c r="F294" t="s">
        <v>54</v>
      </c>
      <c r="G294" t="s">
        <v>1411</v>
      </c>
      <c r="H294" t="s">
        <v>38</v>
      </c>
      <c r="I294" t="s">
        <v>39</v>
      </c>
      <c r="J294" t="s">
        <v>40</v>
      </c>
      <c r="K294" t="s">
        <v>1412</v>
      </c>
      <c r="L294" t="s">
        <v>30</v>
      </c>
      <c r="M294" t="s">
        <v>105</v>
      </c>
      <c r="N294" t="s">
        <v>1413</v>
      </c>
      <c r="O294" s="2">
        <v>50</v>
      </c>
      <c r="P294">
        <v>3</v>
      </c>
      <c r="Q294" s="3">
        <v>0</v>
      </c>
      <c r="R294" s="2">
        <v>5.52</v>
      </c>
      <c r="S294" s="2">
        <v>3.87</v>
      </c>
      <c r="T294" t="s">
        <v>33</v>
      </c>
      <c r="U294">
        <v>2013</v>
      </c>
    </row>
    <row r="295" spans="1:21" x14ac:dyDescent="0.3">
      <c r="A295" t="s">
        <v>1414</v>
      </c>
      <c r="B295" s="1">
        <v>41794</v>
      </c>
      <c r="C295" s="1">
        <v>41799</v>
      </c>
      <c r="D295" t="s">
        <v>22</v>
      </c>
      <c r="E295" t="s">
        <v>1415</v>
      </c>
      <c r="F295" t="s">
        <v>24</v>
      </c>
      <c r="G295" t="s">
        <v>1416</v>
      </c>
      <c r="H295" t="s">
        <v>144</v>
      </c>
      <c r="I295" t="s">
        <v>117</v>
      </c>
      <c r="J295" t="s">
        <v>117</v>
      </c>
      <c r="K295" t="s">
        <v>1417</v>
      </c>
      <c r="L295" t="s">
        <v>30</v>
      </c>
      <c r="M295" t="s">
        <v>31</v>
      </c>
      <c r="N295" t="s">
        <v>1079</v>
      </c>
      <c r="O295" s="2">
        <v>5</v>
      </c>
      <c r="P295">
        <v>1</v>
      </c>
      <c r="Q295" s="3">
        <v>0.7</v>
      </c>
      <c r="R295" s="2">
        <v>-8.5050000000000008</v>
      </c>
      <c r="S295" s="2">
        <v>0.41</v>
      </c>
      <c r="T295" t="s">
        <v>33</v>
      </c>
      <c r="U295">
        <v>2014</v>
      </c>
    </row>
    <row r="296" spans="1:21" x14ac:dyDescent="0.3">
      <c r="A296" t="s">
        <v>1418</v>
      </c>
      <c r="B296" s="1">
        <v>41019</v>
      </c>
      <c r="C296" s="1">
        <v>41021</v>
      </c>
      <c r="D296" t="s">
        <v>45</v>
      </c>
      <c r="E296" t="s">
        <v>1419</v>
      </c>
      <c r="F296" t="s">
        <v>36</v>
      </c>
      <c r="G296" t="s">
        <v>880</v>
      </c>
      <c r="H296" t="s">
        <v>211</v>
      </c>
      <c r="I296" t="s">
        <v>27</v>
      </c>
      <c r="J296" t="s">
        <v>212</v>
      </c>
      <c r="K296" t="s">
        <v>1420</v>
      </c>
      <c r="L296" t="s">
        <v>59</v>
      </c>
      <c r="M296" t="s">
        <v>139</v>
      </c>
      <c r="N296" t="s">
        <v>1421</v>
      </c>
      <c r="O296" s="2">
        <v>557</v>
      </c>
      <c r="P296">
        <v>2</v>
      </c>
      <c r="Q296" s="3">
        <v>0.4</v>
      </c>
      <c r="R296" s="2">
        <v>-306.21600000000001</v>
      </c>
      <c r="S296" s="2">
        <v>177.36</v>
      </c>
      <c r="T296" t="s">
        <v>68</v>
      </c>
      <c r="U296">
        <v>2012</v>
      </c>
    </row>
    <row r="297" spans="1:21" x14ac:dyDescent="0.3">
      <c r="A297" t="s">
        <v>1422</v>
      </c>
      <c r="B297" s="1">
        <v>41551</v>
      </c>
      <c r="C297" s="1">
        <v>41556</v>
      </c>
      <c r="D297" t="s">
        <v>22</v>
      </c>
      <c r="E297" t="s">
        <v>1423</v>
      </c>
      <c r="F297" t="s">
        <v>24</v>
      </c>
      <c r="G297" t="s">
        <v>708</v>
      </c>
      <c r="H297" t="s">
        <v>103</v>
      </c>
      <c r="I297" t="s">
        <v>39</v>
      </c>
      <c r="J297" t="s">
        <v>57</v>
      </c>
      <c r="K297" t="s">
        <v>1424</v>
      </c>
      <c r="L297" t="s">
        <v>30</v>
      </c>
      <c r="M297" t="s">
        <v>97</v>
      </c>
      <c r="N297" t="s">
        <v>1425</v>
      </c>
      <c r="O297" s="2">
        <v>26</v>
      </c>
      <c r="P297">
        <v>4</v>
      </c>
      <c r="Q297" s="3">
        <v>0.4</v>
      </c>
      <c r="R297" s="2">
        <v>-5.2640000000000002</v>
      </c>
      <c r="S297" s="2">
        <v>4.6500000000000004</v>
      </c>
      <c r="T297" t="s">
        <v>99</v>
      </c>
      <c r="U297">
        <v>2013</v>
      </c>
    </row>
    <row r="298" spans="1:21" x14ac:dyDescent="0.3">
      <c r="A298" t="s">
        <v>1426</v>
      </c>
      <c r="B298" s="1">
        <v>41551</v>
      </c>
      <c r="C298" s="1">
        <v>41554</v>
      </c>
      <c r="D298" t="s">
        <v>45</v>
      </c>
      <c r="E298" t="s">
        <v>1427</v>
      </c>
      <c r="F298" t="s">
        <v>36</v>
      </c>
      <c r="G298" t="s">
        <v>204</v>
      </c>
      <c r="H298" t="s">
        <v>205</v>
      </c>
      <c r="I298" t="s">
        <v>49</v>
      </c>
      <c r="J298" t="s">
        <v>57</v>
      </c>
      <c r="K298" t="s">
        <v>1428</v>
      </c>
      <c r="L298" t="s">
        <v>59</v>
      </c>
      <c r="M298" t="s">
        <v>339</v>
      </c>
      <c r="N298" t="s">
        <v>1429</v>
      </c>
      <c r="O298" s="2">
        <v>524</v>
      </c>
      <c r="P298">
        <v>3</v>
      </c>
      <c r="Q298" s="3">
        <v>0.1</v>
      </c>
      <c r="R298" s="2">
        <v>81.468000000000004</v>
      </c>
      <c r="S298" s="2">
        <v>29.42</v>
      </c>
      <c r="T298" t="s">
        <v>33</v>
      </c>
      <c r="U298">
        <v>2013</v>
      </c>
    </row>
    <row r="299" spans="1:21" x14ac:dyDescent="0.3">
      <c r="A299" t="s">
        <v>1430</v>
      </c>
      <c r="B299" s="1">
        <v>40578</v>
      </c>
      <c r="C299" s="1">
        <v>40583</v>
      </c>
      <c r="D299" t="s">
        <v>45</v>
      </c>
      <c r="E299" t="s">
        <v>1431</v>
      </c>
      <c r="F299" t="s">
        <v>36</v>
      </c>
      <c r="G299" t="s">
        <v>252</v>
      </c>
      <c r="H299" t="s">
        <v>144</v>
      </c>
      <c r="I299" t="s">
        <v>117</v>
      </c>
      <c r="J299" t="s">
        <v>117</v>
      </c>
      <c r="K299" t="s">
        <v>1432</v>
      </c>
      <c r="L299" t="s">
        <v>30</v>
      </c>
      <c r="M299" t="s">
        <v>90</v>
      </c>
      <c r="N299" t="s">
        <v>1433</v>
      </c>
      <c r="O299" s="2">
        <v>7</v>
      </c>
      <c r="P299">
        <v>2</v>
      </c>
      <c r="Q299" s="3">
        <v>0.7</v>
      </c>
      <c r="R299" s="2">
        <v>-10.698</v>
      </c>
      <c r="S299" s="2">
        <v>0.35</v>
      </c>
      <c r="T299" t="s">
        <v>33</v>
      </c>
      <c r="U299">
        <v>2011</v>
      </c>
    </row>
    <row r="300" spans="1:21" x14ac:dyDescent="0.3">
      <c r="A300" t="s">
        <v>1434</v>
      </c>
      <c r="B300" s="1">
        <v>41429</v>
      </c>
      <c r="C300" s="1">
        <v>41433</v>
      </c>
      <c r="D300" t="s">
        <v>22</v>
      </c>
      <c r="E300" t="s">
        <v>162</v>
      </c>
      <c r="F300" t="s">
        <v>36</v>
      </c>
      <c r="G300" t="s">
        <v>1435</v>
      </c>
      <c r="H300" t="s">
        <v>564</v>
      </c>
      <c r="I300" t="s">
        <v>49</v>
      </c>
      <c r="J300" t="s">
        <v>57</v>
      </c>
      <c r="K300" t="s">
        <v>1436</v>
      </c>
      <c r="L300" t="s">
        <v>30</v>
      </c>
      <c r="M300" t="s">
        <v>31</v>
      </c>
      <c r="N300" t="s">
        <v>1437</v>
      </c>
      <c r="O300" s="2">
        <v>259</v>
      </c>
      <c r="P300">
        <v>10</v>
      </c>
      <c r="Q300" s="3">
        <v>0.5</v>
      </c>
      <c r="R300" s="2">
        <v>-165.9</v>
      </c>
      <c r="S300" s="2">
        <v>20.03</v>
      </c>
      <c r="T300" t="s">
        <v>33</v>
      </c>
      <c r="U300">
        <v>2013</v>
      </c>
    </row>
    <row r="301" spans="1:21" x14ac:dyDescent="0.3">
      <c r="A301" t="s">
        <v>1438</v>
      </c>
      <c r="B301" s="1">
        <v>41394</v>
      </c>
      <c r="C301" s="1">
        <v>41398</v>
      </c>
      <c r="D301" t="s">
        <v>22</v>
      </c>
      <c r="E301" t="s">
        <v>683</v>
      </c>
      <c r="F301" t="s">
        <v>36</v>
      </c>
      <c r="G301" t="s">
        <v>602</v>
      </c>
      <c r="H301" t="s">
        <v>602</v>
      </c>
      <c r="I301" t="s">
        <v>39</v>
      </c>
      <c r="J301" t="s">
        <v>57</v>
      </c>
      <c r="K301" t="s">
        <v>1439</v>
      </c>
      <c r="L301" t="s">
        <v>59</v>
      </c>
      <c r="M301" t="s">
        <v>339</v>
      </c>
      <c r="N301" t="s">
        <v>1440</v>
      </c>
      <c r="O301" s="2">
        <v>780</v>
      </c>
      <c r="P301">
        <v>3</v>
      </c>
      <c r="Q301" s="3">
        <v>0</v>
      </c>
      <c r="R301" s="2">
        <v>187.26</v>
      </c>
      <c r="S301" s="2">
        <v>84.22</v>
      </c>
      <c r="T301" t="s">
        <v>99</v>
      </c>
      <c r="U301">
        <v>2013</v>
      </c>
    </row>
    <row r="302" spans="1:21" x14ac:dyDescent="0.3">
      <c r="A302" t="s">
        <v>1441</v>
      </c>
      <c r="B302" s="1">
        <v>41012</v>
      </c>
      <c r="C302" s="1">
        <v>41016</v>
      </c>
      <c r="D302" t="s">
        <v>22</v>
      </c>
      <c r="E302" t="s">
        <v>1442</v>
      </c>
      <c r="F302" t="s">
        <v>54</v>
      </c>
      <c r="G302" t="s">
        <v>1443</v>
      </c>
      <c r="H302" t="s">
        <v>56</v>
      </c>
      <c r="I302" t="s">
        <v>49</v>
      </c>
      <c r="J302" t="s">
        <v>57</v>
      </c>
      <c r="K302" t="s">
        <v>1444</v>
      </c>
      <c r="L302" t="s">
        <v>146</v>
      </c>
      <c r="M302" t="s">
        <v>195</v>
      </c>
      <c r="N302" t="s">
        <v>1445</v>
      </c>
      <c r="O302" s="2">
        <v>416</v>
      </c>
      <c r="P302">
        <v>4</v>
      </c>
      <c r="Q302" s="3">
        <v>0.15</v>
      </c>
      <c r="R302" s="2">
        <v>68.418000000000006</v>
      </c>
      <c r="S302" s="2">
        <v>15.54</v>
      </c>
      <c r="T302" t="s">
        <v>33</v>
      </c>
      <c r="U302">
        <v>2012</v>
      </c>
    </row>
    <row r="303" spans="1:21" x14ac:dyDescent="0.3">
      <c r="A303" t="s">
        <v>1446</v>
      </c>
      <c r="B303" s="1">
        <v>40606</v>
      </c>
      <c r="C303" s="1">
        <v>40611</v>
      </c>
      <c r="D303" t="s">
        <v>22</v>
      </c>
      <c r="E303" t="s">
        <v>917</v>
      </c>
      <c r="F303" t="s">
        <v>54</v>
      </c>
      <c r="G303" t="s">
        <v>86</v>
      </c>
      <c r="H303" t="s">
        <v>87</v>
      </c>
      <c r="I303" t="s">
        <v>88</v>
      </c>
      <c r="J303" t="s">
        <v>88</v>
      </c>
      <c r="K303" t="s">
        <v>1447</v>
      </c>
      <c r="L303" t="s">
        <v>146</v>
      </c>
      <c r="M303" t="s">
        <v>195</v>
      </c>
      <c r="N303" t="s">
        <v>1448</v>
      </c>
      <c r="O303" s="2">
        <v>94</v>
      </c>
      <c r="P303">
        <v>2</v>
      </c>
      <c r="Q303" s="3">
        <v>0.6</v>
      </c>
      <c r="R303" s="2">
        <v>-25.98</v>
      </c>
      <c r="S303" s="2">
        <v>4.07</v>
      </c>
      <c r="T303" t="s">
        <v>33</v>
      </c>
      <c r="U303">
        <v>2011</v>
      </c>
    </row>
    <row r="304" spans="1:21" x14ac:dyDescent="0.3">
      <c r="A304" t="s">
        <v>1449</v>
      </c>
      <c r="B304" s="1">
        <v>40646</v>
      </c>
      <c r="C304" s="1">
        <v>40650</v>
      </c>
      <c r="D304" t="s">
        <v>22</v>
      </c>
      <c r="E304" t="s">
        <v>762</v>
      </c>
      <c r="F304" t="s">
        <v>54</v>
      </c>
      <c r="G304" t="s">
        <v>617</v>
      </c>
      <c r="H304" t="s">
        <v>26</v>
      </c>
      <c r="I304" t="s">
        <v>27</v>
      </c>
      <c r="J304" t="s">
        <v>28</v>
      </c>
      <c r="K304" t="s">
        <v>1450</v>
      </c>
      <c r="L304" t="s">
        <v>146</v>
      </c>
      <c r="M304" t="s">
        <v>347</v>
      </c>
      <c r="N304" t="s">
        <v>1451</v>
      </c>
      <c r="O304" s="2">
        <v>470</v>
      </c>
      <c r="P304">
        <v>3</v>
      </c>
      <c r="Q304" s="3">
        <v>7.0000000000000007E-2</v>
      </c>
      <c r="R304" s="2">
        <v>202.28399999999999</v>
      </c>
      <c r="S304" s="2">
        <v>24.86</v>
      </c>
      <c r="T304" t="s">
        <v>33</v>
      </c>
      <c r="U304">
        <v>2011</v>
      </c>
    </row>
    <row r="305" spans="1:21" x14ac:dyDescent="0.3">
      <c r="A305" t="s">
        <v>1452</v>
      </c>
      <c r="B305" s="1">
        <v>40658</v>
      </c>
      <c r="C305" s="1">
        <v>40661</v>
      </c>
      <c r="D305" t="s">
        <v>84</v>
      </c>
      <c r="E305" t="s">
        <v>522</v>
      </c>
      <c r="F305" t="s">
        <v>24</v>
      </c>
      <c r="G305" t="s">
        <v>1453</v>
      </c>
      <c r="H305" t="s">
        <v>435</v>
      </c>
      <c r="I305" t="s">
        <v>117</v>
      </c>
      <c r="J305" t="s">
        <v>117</v>
      </c>
      <c r="K305" t="s">
        <v>1454</v>
      </c>
      <c r="L305" t="s">
        <v>30</v>
      </c>
      <c r="M305" t="s">
        <v>105</v>
      </c>
      <c r="N305" t="s">
        <v>1455</v>
      </c>
      <c r="O305" s="2">
        <v>18</v>
      </c>
      <c r="P305">
        <v>1</v>
      </c>
      <c r="Q305" s="3">
        <v>0</v>
      </c>
      <c r="R305" s="2">
        <v>4.8</v>
      </c>
      <c r="S305" s="2">
        <v>0.37</v>
      </c>
      <c r="T305" t="s">
        <v>33</v>
      </c>
      <c r="U305">
        <v>2011</v>
      </c>
    </row>
    <row r="306" spans="1:21" x14ac:dyDescent="0.3">
      <c r="A306" t="s">
        <v>1456</v>
      </c>
      <c r="B306" s="1">
        <v>41753</v>
      </c>
      <c r="C306" s="1">
        <v>41758</v>
      </c>
      <c r="D306" t="s">
        <v>22</v>
      </c>
      <c r="E306" t="s">
        <v>1457</v>
      </c>
      <c r="F306" t="s">
        <v>54</v>
      </c>
      <c r="G306" t="s">
        <v>1458</v>
      </c>
      <c r="H306" t="s">
        <v>1147</v>
      </c>
      <c r="I306" t="s">
        <v>39</v>
      </c>
      <c r="J306" t="s">
        <v>129</v>
      </c>
      <c r="K306" t="s">
        <v>1459</v>
      </c>
      <c r="L306" t="s">
        <v>30</v>
      </c>
      <c r="M306" t="s">
        <v>31</v>
      </c>
      <c r="N306" t="s">
        <v>1460</v>
      </c>
      <c r="O306" s="2">
        <v>11</v>
      </c>
      <c r="P306">
        <v>2</v>
      </c>
      <c r="Q306" s="3">
        <v>0</v>
      </c>
      <c r="R306" s="2">
        <v>3.48</v>
      </c>
      <c r="S306" s="2">
        <v>0.69</v>
      </c>
      <c r="T306" t="s">
        <v>99</v>
      </c>
      <c r="U306">
        <v>2014</v>
      </c>
    </row>
    <row r="307" spans="1:21" x14ac:dyDescent="0.3">
      <c r="A307" t="s">
        <v>1461</v>
      </c>
      <c r="B307" s="1">
        <v>41886</v>
      </c>
      <c r="C307" s="1">
        <v>41892</v>
      </c>
      <c r="D307" t="s">
        <v>22</v>
      </c>
      <c r="E307" t="s">
        <v>935</v>
      </c>
      <c r="F307" t="s">
        <v>54</v>
      </c>
      <c r="G307" t="s">
        <v>184</v>
      </c>
      <c r="H307" t="s">
        <v>152</v>
      </c>
      <c r="I307" t="s">
        <v>27</v>
      </c>
      <c r="J307" t="s">
        <v>153</v>
      </c>
      <c r="K307" t="s">
        <v>1462</v>
      </c>
      <c r="L307" t="s">
        <v>30</v>
      </c>
      <c r="M307" t="s">
        <v>75</v>
      </c>
      <c r="N307" t="s">
        <v>1463</v>
      </c>
      <c r="O307" s="2">
        <v>27</v>
      </c>
      <c r="P307">
        <v>3</v>
      </c>
      <c r="Q307" s="3">
        <v>0</v>
      </c>
      <c r="R307" s="2">
        <v>11.61</v>
      </c>
      <c r="S307" s="2">
        <v>2.76</v>
      </c>
      <c r="T307" t="s">
        <v>33</v>
      </c>
      <c r="U307">
        <v>2014</v>
      </c>
    </row>
    <row r="308" spans="1:21" x14ac:dyDescent="0.3">
      <c r="A308" t="s">
        <v>1464</v>
      </c>
      <c r="B308" s="1">
        <v>41029</v>
      </c>
      <c r="C308" s="1">
        <v>41032</v>
      </c>
      <c r="D308" t="s">
        <v>45</v>
      </c>
      <c r="E308" t="s">
        <v>1465</v>
      </c>
      <c r="F308" t="s">
        <v>24</v>
      </c>
      <c r="G308" t="s">
        <v>1466</v>
      </c>
      <c r="H308" t="s">
        <v>296</v>
      </c>
      <c r="I308" t="s">
        <v>88</v>
      </c>
      <c r="J308" t="s">
        <v>88</v>
      </c>
      <c r="K308" t="s">
        <v>1467</v>
      </c>
      <c r="L308" t="s">
        <v>30</v>
      </c>
      <c r="M308" t="s">
        <v>410</v>
      </c>
      <c r="N308" t="s">
        <v>1468</v>
      </c>
      <c r="O308" s="2">
        <v>19</v>
      </c>
      <c r="P308">
        <v>1</v>
      </c>
      <c r="Q308" s="3">
        <v>0</v>
      </c>
      <c r="R308" s="2">
        <v>2.1</v>
      </c>
      <c r="S308" s="2">
        <v>2.12</v>
      </c>
      <c r="T308" t="s">
        <v>33</v>
      </c>
      <c r="U308">
        <v>2012</v>
      </c>
    </row>
    <row r="309" spans="1:21" x14ac:dyDescent="0.3">
      <c r="A309" t="s">
        <v>1469</v>
      </c>
      <c r="B309" s="1">
        <v>40637</v>
      </c>
      <c r="C309" s="1">
        <v>40642</v>
      </c>
      <c r="D309" t="s">
        <v>22</v>
      </c>
      <c r="E309" t="s">
        <v>888</v>
      </c>
      <c r="F309" t="s">
        <v>24</v>
      </c>
      <c r="G309" t="s">
        <v>1470</v>
      </c>
      <c r="H309" t="s">
        <v>56</v>
      </c>
      <c r="I309" t="s">
        <v>49</v>
      </c>
      <c r="J309" t="s">
        <v>57</v>
      </c>
      <c r="K309" t="s">
        <v>1471</v>
      </c>
      <c r="L309" t="s">
        <v>30</v>
      </c>
      <c r="M309" t="s">
        <v>97</v>
      </c>
      <c r="N309" t="s">
        <v>1472</v>
      </c>
      <c r="O309" s="2">
        <v>86</v>
      </c>
      <c r="P309">
        <v>5</v>
      </c>
      <c r="Q309" s="3">
        <v>0</v>
      </c>
      <c r="R309" s="2">
        <v>32.549999999999997</v>
      </c>
      <c r="S309" s="2">
        <v>6.26</v>
      </c>
      <c r="T309" t="s">
        <v>33</v>
      </c>
      <c r="U309">
        <v>2011</v>
      </c>
    </row>
    <row r="310" spans="1:21" x14ac:dyDescent="0.3">
      <c r="A310" t="s">
        <v>1473</v>
      </c>
      <c r="B310" s="1">
        <v>41337</v>
      </c>
      <c r="C310" s="1">
        <v>41342</v>
      </c>
      <c r="D310" t="s">
        <v>22</v>
      </c>
      <c r="E310" t="s">
        <v>1474</v>
      </c>
      <c r="F310" t="s">
        <v>24</v>
      </c>
      <c r="G310" t="s">
        <v>1475</v>
      </c>
      <c r="H310" t="s">
        <v>296</v>
      </c>
      <c r="I310" t="s">
        <v>88</v>
      </c>
      <c r="J310" t="s">
        <v>88</v>
      </c>
      <c r="K310" t="s">
        <v>1476</v>
      </c>
      <c r="L310" t="s">
        <v>30</v>
      </c>
      <c r="M310" t="s">
        <v>410</v>
      </c>
      <c r="N310" t="s">
        <v>1477</v>
      </c>
      <c r="O310" s="2">
        <v>23</v>
      </c>
      <c r="P310">
        <v>1</v>
      </c>
      <c r="Q310" s="3">
        <v>0</v>
      </c>
      <c r="R310" s="2">
        <v>1.38</v>
      </c>
      <c r="S310" s="2">
        <v>2.16</v>
      </c>
      <c r="T310" t="s">
        <v>33</v>
      </c>
      <c r="U310">
        <v>2013</v>
      </c>
    </row>
    <row r="311" spans="1:21" x14ac:dyDescent="0.3">
      <c r="A311" t="s">
        <v>1478</v>
      </c>
      <c r="B311" s="1">
        <v>40667</v>
      </c>
      <c r="C311" s="1">
        <v>40671</v>
      </c>
      <c r="D311" t="s">
        <v>22</v>
      </c>
      <c r="E311" t="s">
        <v>635</v>
      </c>
      <c r="F311" t="s">
        <v>36</v>
      </c>
      <c r="G311" t="s">
        <v>204</v>
      </c>
      <c r="H311" t="s">
        <v>205</v>
      </c>
      <c r="I311" t="s">
        <v>49</v>
      </c>
      <c r="J311" t="s">
        <v>57</v>
      </c>
      <c r="K311" t="s">
        <v>1479</v>
      </c>
      <c r="L311" t="s">
        <v>30</v>
      </c>
      <c r="M311" t="s">
        <v>75</v>
      </c>
      <c r="N311" t="s">
        <v>1286</v>
      </c>
      <c r="O311" s="2">
        <v>35</v>
      </c>
      <c r="P311">
        <v>4</v>
      </c>
      <c r="Q311" s="3">
        <v>0</v>
      </c>
      <c r="R311" s="2">
        <v>10.8</v>
      </c>
      <c r="S311" s="2">
        <v>5.92</v>
      </c>
      <c r="T311" t="s">
        <v>99</v>
      </c>
      <c r="U311">
        <v>2011</v>
      </c>
    </row>
    <row r="312" spans="1:21" x14ac:dyDescent="0.3">
      <c r="A312" t="s">
        <v>1480</v>
      </c>
      <c r="B312" s="1">
        <v>41745</v>
      </c>
      <c r="C312" s="1">
        <v>41748</v>
      </c>
      <c r="D312" t="s">
        <v>84</v>
      </c>
      <c r="E312" t="s">
        <v>1481</v>
      </c>
      <c r="F312" t="s">
        <v>24</v>
      </c>
      <c r="G312" t="s">
        <v>1482</v>
      </c>
      <c r="H312" t="s">
        <v>87</v>
      </c>
      <c r="I312" t="s">
        <v>88</v>
      </c>
      <c r="J312" t="s">
        <v>88</v>
      </c>
      <c r="K312" t="s">
        <v>1483</v>
      </c>
      <c r="L312" t="s">
        <v>30</v>
      </c>
      <c r="M312" t="s">
        <v>75</v>
      </c>
      <c r="N312" t="s">
        <v>1484</v>
      </c>
      <c r="O312" s="2">
        <v>5</v>
      </c>
      <c r="P312">
        <v>1</v>
      </c>
      <c r="Q312" s="3">
        <v>0.6</v>
      </c>
      <c r="R312" s="2">
        <v>-5.6040000000000001</v>
      </c>
      <c r="S312" s="2">
        <v>0.99</v>
      </c>
      <c r="T312" t="s">
        <v>68</v>
      </c>
      <c r="U312">
        <v>2014</v>
      </c>
    </row>
    <row r="313" spans="1:21" x14ac:dyDescent="0.3">
      <c r="A313" t="s">
        <v>1485</v>
      </c>
      <c r="B313" s="1">
        <v>41388</v>
      </c>
      <c r="C313" s="1">
        <v>41390</v>
      </c>
      <c r="D313" t="s">
        <v>45</v>
      </c>
      <c r="E313" t="s">
        <v>1486</v>
      </c>
      <c r="F313" t="s">
        <v>36</v>
      </c>
      <c r="G313" t="s">
        <v>830</v>
      </c>
      <c r="H313" t="s">
        <v>72</v>
      </c>
      <c r="I313" t="s">
        <v>27</v>
      </c>
      <c r="J313" t="s">
        <v>73</v>
      </c>
      <c r="K313" t="s">
        <v>1487</v>
      </c>
      <c r="L313" t="s">
        <v>146</v>
      </c>
      <c r="M313" t="s">
        <v>147</v>
      </c>
      <c r="N313" t="s">
        <v>1488</v>
      </c>
      <c r="O313" s="2">
        <v>286</v>
      </c>
      <c r="P313">
        <v>2</v>
      </c>
      <c r="Q313" s="3">
        <v>0</v>
      </c>
      <c r="R313" s="2">
        <v>19.98</v>
      </c>
      <c r="S313" s="2">
        <v>62</v>
      </c>
      <c r="T313" t="s">
        <v>68</v>
      </c>
      <c r="U313">
        <v>2013</v>
      </c>
    </row>
    <row r="314" spans="1:21" x14ac:dyDescent="0.3">
      <c r="A314" t="s">
        <v>1489</v>
      </c>
      <c r="B314" s="1">
        <v>41824</v>
      </c>
      <c r="C314" s="1">
        <v>41829</v>
      </c>
      <c r="D314" t="s">
        <v>22</v>
      </c>
      <c r="E314" t="s">
        <v>1490</v>
      </c>
      <c r="F314" t="s">
        <v>54</v>
      </c>
      <c r="G314" t="s">
        <v>217</v>
      </c>
      <c r="H314" t="s">
        <v>218</v>
      </c>
      <c r="I314" t="s">
        <v>218</v>
      </c>
      <c r="J314" t="s">
        <v>218</v>
      </c>
      <c r="K314" t="s">
        <v>1491</v>
      </c>
      <c r="L314" t="s">
        <v>30</v>
      </c>
      <c r="M314" t="s">
        <v>75</v>
      </c>
      <c r="N314" t="s">
        <v>1492</v>
      </c>
      <c r="O314" s="2">
        <v>41</v>
      </c>
      <c r="P314">
        <v>6</v>
      </c>
      <c r="Q314" s="3">
        <v>0</v>
      </c>
      <c r="R314" s="2">
        <v>14.76</v>
      </c>
      <c r="S314" s="2">
        <v>2.82</v>
      </c>
      <c r="T314" t="s">
        <v>33</v>
      </c>
      <c r="U314">
        <v>2014</v>
      </c>
    </row>
    <row r="315" spans="1:21" x14ac:dyDescent="0.3">
      <c r="A315" t="s">
        <v>1493</v>
      </c>
      <c r="B315" s="1">
        <v>41033</v>
      </c>
      <c r="C315" s="1">
        <v>41039</v>
      </c>
      <c r="D315" t="s">
        <v>22</v>
      </c>
      <c r="E315" t="s">
        <v>1357</v>
      </c>
      <c r="F315" t="s">
        <v>36</v>
      </c>
      <c r="G315" t="s">
        <v>315</v>
      </c>
      <c r="H315" t="s">
        <v>316</v>
      </c>
      <c r="I315" t="s">
        <v>27</v>
      </c>
      <c r="J315" t="s">
        <v>212</v>
      </c>
      <c r="K315" t="s">
        <v>1494</v>
      </c>
      <c r="L315" t="s">
        <v>146</v>
      </c>
      <c r="M315" t="s">
        <v>347</v>
      </c>
      <c r="N315" t="s">
        <v>1495</v>
      </c>
      <c r="O315" s="2">
        <v>1018</v>
      </c>
      <c r="P315">
        <v>3</v>
      </c>
      <c r="Q315" s="3">
        <v>0.1</v>
      </c>
      <c r="R315" s="2">
        <v>214.857</v>
      </c>
      <c r="S315" s="2">
        <v>111.07</v>
      </c>
      <c r="T315" t="s">
        <v>77</v>
      </c>
      <c r="U315">
        <v>2012</v>
      </c>
    </row>
    <row r="316" spans="1:21" x14ac:dyDescent="0.3">
      <c r="A316" t="s">
        <v>1496</v>
      </c>
      <c r="B316" s="1">
        <v>40851</v>
      </c>
      <c r="C316" s="1">
        <v>40856</v>
      </c>
      <c r="D316" t="s">
        <v>45</v>
      </c>
      <c r="E316" t="s">
        <v>1497</v>
      </c>
      <c r="F316" t="s">
        <v>24</v>
      </c>
      <c r="G316" t="s">
        <v>229</v>
      </c>
      <c r="H316" t="s">
        <v>152</v>
      </c>
      <c r="I316" t="s">
        <v>27</v>
      </c>
      <c r="J316" t="s">
        <v>153</v>
      </c>
      <c r="K316" t="s">
        <v>1498</v>
      </c>
      <c r="L316" t="s">
        <v>146</v>
      </c>
      <c r="M316" t="s">
        <v>347</v>
      </c>
      <c r="N316" t="s">
        <v>1499</v>
      </c>
      <c r="O316" s="2">
        <v>1028</v>
      </c>
      <c r="P316">
        <v>7</v>
      </c>
      <c r="Q316" s="3">
        <v>0</v>
      </c>
      <c r="R316" s="2">
        <v>20.37</v>
      </c>
      <c r="S316" s="2">
        <v>77.63</v>
      </c>
      <c r="T316" t="s">
        <v>33</v>
      </c>
      <c r="U316">
        <v>2011</v>
      </c>
    </row>
    <row r="317" spans="1:21" x14ac:dyDescent="0.3">
      <c r="A317" t="s">
        <v>1500</v>
      </c>
      <c r="B317" s="1">
        <v>40649</v>
      </c>
      <c r="C317" s="1">
        <v>40650</v>
      </c>
      <c r="D317" t="s">
        <v>84</v>
      </c>
      <c r="E317" t="s">
        <v>670</v>
      </c>
      <c r="F317" t="s">
        <v>36</v>
      </c>
      <c r="G317" t="s">
        <v>184</v>
      </c>
      <c r="H317" t="s">
        <v>152</v>
      </c>
      <c r="I317" t="s">
        <v>27</v>
      </c>
      <c r="J317" t="s">
        <v>153</v>
      </c>
      <c r="K317" t="s">
        <v>1501</v>
      </c>
      <c r="L317" t="s">
        <v>146</v>
      </c>
      <c r="M317" t="s">
        <v>271</v>
      </c>
      <c r="N317" t="s">
        <v>1502</v>
      </c>
      <c r="O317" s="2">
        <v>169</v>
      </c>
      <c r="P317">
        <v>6</v>
      </c>
      <c r="Q317" s="3">
        <v>0</v>
      </c>
      <c r="R317" s="2">
        <v>20.16</v>
      </c>
      <c r="S317" s="2">
        <v>21.29</v>
      </c>
      <c r="T317" t="s">
        <v>99</v>
      </c>
      <c r="U317">
        <v>2011</v>
      </c>
    </row>
    <row r="318" spans="1:21" x14ac:dyDescent="0.3">
      <c r="A318" t="s">
        <v>1503</v>
      </c>
      <c r="B318" s="1">
        <v>41391</v>
      </c>
      <c r="C318" s="1">
        <v>41396</v>
      </c>
      <c r="D318" t="s">
        <v>22</v>
      </c>
      <c r="E318" t="s">
        <v>183</v>
      </c>
      <c r="F318" t="s">
        <v>54</v>
      </c>
      <c r="G318" t="s">
        <v>1504</v>
      </c>
      <c r="H318" t="s">
        <v>48</v>
      </c>
      <c r="I318" t="s">
        <v>49</v>
      </c>
      <c r="J318" t="s">
        <v>40</v>
      </c>
      <c r="K318" t="s">
        <v>1505</v>
      </c>
      <c r="L318" t="s">
        <v>59</v>
      </c>
      <c r="M318" t="s">
        <v>339</v>
      </c>
      <c r="N318" t="s">
        <v>1506</v>
      </c>
      <c r="O318" s="2">
        <v>1243</v>
      </c>
      <c r="P318">
        <v>3</v>
      </c>
      <c r="Q318" s="3">
        <v>0</v>
      </c>
      <c r="R318" s="2">
        <v>397.62</v>
      </c>
      <c r="S318" s="2">
        <v>32.26</v>
      </c>
      <c r="T318" t="s">
        <v>33</v>
      </c>
      <c r="U318">
        <v>2013</v>
      </c>
    </row>
    <row r="319" spans="1:21" x14ac:dyDescent="0.3">
      <c r="A319" t="s">
        <v>1507</v>
      </c>
      <c r="B319" s="1">
        <v>41824</v>
      </c>
      <c r="C319" s="1">
        <v>41828</v>
      </c>
      <c r="D319" t="s">
        <v>22</v>
      </c>
      <c r="E319" t="s">
        <v>1508</v>
      </c>
      <c r="F319" t="s">
        <v>24</v>
      </c>
      <c r="G319" t="s">
        <v>1509</v>
      </c>
      <c r="H319" t="s">
        <v>269</v>
      </c>
      <c r="I319" t="s">
        <v>88</v>
      </c>
      <c r="J319" t="s">
        <v>88</v>
      </c>
      <c r="K319" t="s">
        <v>1510</v>
      </c>
      <c r="L319" t="s">
        <v>30</v>
      </c>
      <c r="M319" t="s">
        <v>75</v>
      </c>
      <c r="N319" t="s">
        <v>1511</v>
      </c>
      <c r="O319" s="2">
        <v>9</v>
      </c>
      <c r="P319">
        <v>1</v>
      </c>
      <c r="Q319" s="3">
        <v>0</v>
      </c>
      <c r="R319" s="2">
        <v>4.26</v>
      </c>
      <c r="S319" s="2">
        <v>0.49</v>
      </c>
      <c r="T319" t="s">
        <v>33</v>
      </c>
      <c r="U319">
        <v>2014</v>
      </c>
    </row>
    <row r="320" spans="1:21" x14ac:dyDescent="0.3">
      <c r="A320" t="s">
        <v>1512</v>
      </c>
      <c r="B320" s="1">
        <v>40652</v>
      </c>
      <c r="C320" s="1">
        <v>40654</v>
      </c>
      <c r="D320" t="s">
        <v>84</v>
      </c>
      <c r="E320" t="s">
        <v>1513</v>
      </c>
      <c r="F320" t="s">
        <v>54</v>
      </c>
      <c r="G320" t="s">
        <v>337</v>
      </c>
      <c r="H320" t="s">
        <v>316</v>
      </c>
      <c r="I320" t="s">
        <v>27</v>
      </c>
      <c r="J320" t="s">
        <v>212</v>
      </c>
      <c r="K320" t="s">
        <v>1514</v>
      </c>
      <c r="L320" t="s">
        <v>30</v>
      </c>
      <c r="M320" t="s">
        <v>31</v>
      </c>
      <c r="N320" t="s">
        <v>1019</v>
      </c>
      <c r="O320" s="2">
        <v>15</v>
      </c>
      <c r="P320">
        <v>2</v>
      </c>
      <c r="Q320" s="3">
        <v>0.1</v>
      </c>
      <c r="R320" s="2">
        <v>0.32400000000000001</v>
      </c>
      <c r="S320" s="2">
        <v>1.02</v>
      </c>
      <c r="T320" t="s">
        <v>99</v>
      </c>
      <c r="U320">
        <v>2011</v>
      </c>
    </row>
    <row r="321" spans="1:21" x14ac:dyDescent="0.3">
      <c r="A321" t="s">
        <v>1515</v>
      </c>
      <c r="B321" s="1">
        <v>41386</v>
      </c>
      <c r="C321" s="1">
        <v>41386</v>
      </c>
      <c r="D321" t="s">
        <v>232</v>
      </c>
      <c r="E321" t="s">
        <v>838</v>
      </c>
      <c r="F321" t="s">
        <v>54</v>
      </c>
      <c r="G321" t="s">
        <v>1205</v>
      </c>
      <c r="H321" t="s">
        <v>135</v>
      </c>
      <c r="I321" t="s">
        <v>136</v>
      </c>
      <c r="J321" t="s">
        <v>396</v>
      </c>
      <c r="K321" t="s">
        <v>1516</v>
      </c>
      <c r="L321" t="s">
        <v>30</v>
      </c>
      <c r="M321" t="s">
        <v>105</v>
      </c>
      <c r="N321" t="s">
        <v>1517</v>
      </c>
      <c r="O321" s="2">
        <v>52</v>
      </c>
      <c r="P321">
        <v>8</v>
      </c>
      <c r="Q321" s="3">
        <v>0</v>
      </c>
      <c r="R321" s="2">
        <v>24.883199999999999</v>
      </c>
      <c r="S321" s="2">
        <v>2.37</v>
      </c>
      <c r="T321" t="s">
        <v>33</v>
      </c>
      <c r="U321">
        <v>2013</v>
      </c>
    </row>
    <row r="322" spans="1:21" x14ac:dyDescent="0.3">
      <c r="A322" t="s">
        <v>1518</v>
      </c>
      <c r="B322" s="1">
        <v>41017</v>
      </c>
      <c r="C322" s="1">
        <v>41018</v>
      </c>
      <c r="D322" t="s">
        <v>84</v>
      </c>
      <c r="E322" t="s">
        <v>1519</v>
      </c>
      <c r="F322" t="s">
        <v>36</v>
      </c>
      <c r="G322" t="s">
        <v>1504</v>
      </c>
      <c r="H322" t="s">
        <v>48</v>
      </c>
      <c r="I322" t="s">
        <v>49</v>
      </c>
      <c r="J322" t="s">
        <v>40</v>
      </c>
      <c r="K322" t="s">
        <v>1520</v>
      </c>
      <c r="L322" t="s">
        <v>146</v>
      </c>
      <c r="M322" t="s">
        <v>147</v>
      </c>
      <c r="N322" t="s">
        <v>1521</v>
      </c>
      <c r="O322" s="2">
        <v>192</v>
      </c>
      <c r="P322">
        <v>4</v>
      </c>
      <c r="Q322" s="3">
        <v>0.4</v>
      </c>
      <c r="R322" s="2">
        <v>-60.768000000000001</v>
      </c>
      <c r="S322" s="2">
        <v>21.63</v>
      </c>
      <c r="T322" t="s">
        <v>33</v>
      </c>
      <c r="U322">
        <v>2012</v>
      </c>
    </row>
    <row r="323" spans="1:21" x14ac:dyDescent="0.3">
      <c r="A323" t="s">
        <v>1522</v>
      </c>
      <c r="B323" s="1">
        <v>41753</v>
      </c>
      <c r="C323" s="1">
        <v>41757</v>
      </c>
      <c r="D323" t="s">
        <v>22</v>
      </c>
      <c r="E323" t="s">
        <v>1523</v>
      </c>
      <c r="F323" t="s">
        <v>24</v>
      </c>
      <c r="G323" t="s">
        <v>1524</v>
      </c>
      <c r="H323" t="s">
        <v>205</v>
      </c>
      <c r="I323" t="s">
        <v>49</v>
      </c>
      <c r="J323" t="s">
        <v>57</v>
      </c>
      <c r="K323" t="s">
        <v>1525</v>
      </c>
      <c r="L323" t="s">
        <v>30</v>
      </c>
      <c r="M323" t="s">
        <v>75</v>
      </c>
      <c r="N323" t="s">
        <v>1526</v>
      </c>
      <c r="O323" s="2">
        <v>29</v>
      </c>
      <c r="P323">
        <v>3</v>
      </c>
      <c r="Q323" s="3">
        <v>0</v>
      </c>
      <c r="R323" s="2">
        <v>1.08</v>
      </c>
      <c r="S323" s="2">
        <v>2.5099999999999998</v>
      </c>
      <c r="T323" t="s">
        <v>33</v>
      </c>
      <c r="U323">
        <v>2014</v>
      </c>
    </row>
    <row r="324" spans="1:21" x14ac:dyDescent="0.3">
      <c r="A324" t="s">
        <v>1527</v>
      </c>
      <c r="B324" s="1">
        <v>41753</v>
      </c>
      <c r="C324" s="1">
        <v>41757</v>
      </c>
      <c r="D324" t="s">
        <v>22</v>
      </c>
      <c r="E324" t="s">
        <v>427</v>
      </c>
      <c r="F324" t="s">
        <v>36</v>
      </c>
      <c r="G324" t="s">
        <v>688</v>
      </c>
      <c r="H324" t="s">
        <v>135</v>
      </c>
      <c r="I324" t="s">
        <v>136</v>
      </c>
      <c r="J324" t="s">
        <v>40</v>
      </c>
      <c r="K324" t="s">
        <v>903</v>
      </c>
      <c r="L324" t="s">
        <v>30</v>
      </c>
      <c r="M324" t="s">
        <v>75</v>
      </c>
      <c r="N324" t="s">
        <v>904</v>
      </c>
      <c r="O324" s="2">
        <v>3</v>
      </c>
      <c r="P324">
        <v>1</v>
      </c>
      <c r="Q324" s="3">
        <v>0.2</v>
      </c>
      <c r="R324" s="2">
        <v>1.05</v>
      </c>
      <c r="S324" s="2">
        <v>0.27</v>
      </c>
      <c r="T324" t="s">
        <v>33</v>
      </c>
      <c r="U324">
        <v>2014</v>
      </c>
    </row>
    <row r="325" spans="1:21" x14ac:dyDescent="0.3">
      <c r="A325" t="s">
        <v>1528</v>
      </c>
      <c r="B325" s="1">
        <v>41015</v>
      </c>
      <c r="C325" s="1">
        <v>41019</v>
      </c>
      <c r="D325" t="s">
        <v>22</v>
      </c>
      <c r="E325" t="s">
        <v>1529</v>
      </c>
      <c r="F325" t="s">
        <v>54</v>
      </c>
      <c r="G325" t="s">
        <v>927</v>
      </c>
      <c r="H325" t="s">
        <v>95</v>
      </c>
      <c r="I325" t="s">
        <v>27</v>
      </c>
      <c r="J325" t="s">
        <v>73</v>
      </c>
      <c r="K325" t="s">
        <v>1530</v>
      </c>
      <c r="L325" t="s">
        <v>146</v>
      </c>
      <c r="M325" t="s">
        <v>271</v>
      </c>
      <c r="N325" t="s">
        <v>1531</v>
      </c>
      <c r="O325" s="2">
        <v>58</v>
      </c>
      <c r="P325">
        <v>2</v>
      </c>
      <c r="Q325" s="3">
        <v>0.5</v>
      </c>
      <c r="R325" s="2">
        <v>-2.34</v>
      </c>
      <c r="S325" s="2">
        <v>5.21</v>
      </c>
      <c r="T325" t="s">
        <v>33</v>
      </c>
      <c r="U325">
        <v>2012</v>
      </c>
    </row>
    <row r="326" spans="1:21" x14ac:dyDescent="0.3">
      <c r="A326" t="s">
        <v>1532</v>
      </c>
      <c r="B326" s="1">
        <v>40667</v>
      </c>
      <c r="C326" s="1">
        <v>40671</v>
      </c>
      <c r="D326" t="s">
        <v>22</v>
      </c>
      <c r="E326" t="s">
        <v>183</v>
      </c>
      <c r="F326" t="s">
        <v>54</v>
      </c>
      <c r="G326" t="s">
        <v>1044</v>
      </c>
      <c r="H326" t="s">
        <v>844</v>
      </c>
      <c r="I326" t="s">
        <v>39</v>
      </c>
      <c r="J326" t="s">
        <v>57</v>
      </c>
      <c r="K326" t="s">
        <v>1533</v>
      </c>
      <c r="L326" t="s">
        <v>59</v>
      </c>
      <c r="M326" t="s">
        <v>329</v>
      </c>
      <c r="N326" t="s">
        <v>1534</v>
      </c>
      <c r="O326" s="2">
        <v>2834</v>
      </c>
      <c r="P326">
        <v>10</v>
      </c>
      <c r="Q326" s="3">
        <v>0.2</v>
      </c>
      <c r="R326" s="2">
        <v>35.36</v>
      </c>
      <c r="S326" s="2">
        <v>269.94</v>
      </c>
      <c r="T326" t="s">
        <v>99</v>
      </c>
      <c r="U326">
        <v>2011</v>
      </c>
    </row>
    <row r="327" spans="1:21" x14ac:dyDescent="0.3">
      <c r="A327" t="s">
        <v>1535</v>
      </c>
      <c r="B327" s="1">
        <v>41368</v>
      </c>
      <c r="C327" s="1">
        <v>41374</v>
      </c>
      <c r="D327" t="s">
        <v>22</v>
      </c>
      <c r="E327" t="s">
        <v>1536</v>
      </c>
      <c r="F327" t="s">
        <v>54</v>
      </c>
      <c r="G327" t="s">
        <v>806</v>
      </c>
      <c r="H327" t="s">
        <v>135</v>
      </c>
      <c r="I327" t="s">
        <v>136</v>
      </c>
      <c r="J327" t="s">
        <v>57</v>
      </c>
      <c r="K327" t="s">
        <v>1537</v>
      </c>
      <c r="L327" t="s">
        <v>146</v>
      </c>
      <c r="M327" t="s">
        <v>147</v>
      </c>
      <c r="N327" t="s">
        <v>1538</v>
      </c>
      <c r="O327" s="2">
        <v>260</v>
      </c>
      <c r="P327">
        <v>4</v>
      </c>
      <c r="Q327" s="3">
        <v>0</v>
      </c>
      <c r="R327" s="2">
        <v>124.7808</v>
      </c>
      <c r="S327" s="2">
        <v>11.84</v>
      </c>
      <c r="T327" t="s">
        <v>33</v>
      </c>
      <c r="U327">
        <v>2013</v>
      </c>
    </row>
    <row r="328" spans="1:21" x14ac:dyDescent="0.3">
      <c r="A328" t="s">
        <v>1539</v>
      </c>
      <c r="B328" s="1">
        <v>41023</v>
      </c>
      <c r="C328" s="1">
        <v>41025</v>
      </c>
      <c r="D328" t="s">
        <v>84</v>
      </c>
      <c r="E328" t="s">
        <v>1540</v>
      </c>
      <c r="F328" t="s">
        <v>24</v>
      </c>
      <c r="G328" t="s">
        <v>1541</v>
      </c>
      <c r="H328" t="s">
        <v>152</v>
      </c>
      <c r="I328" t="s">
        <v>27</v>
      </c>
      <c r="J328" t="s">
        <v>153</v>
      </c>
      <c r="K328" t="s">
        <v>1542</v>
      </c>
      <c r="L328" t="s">
        <v>30</v>
      </c>
      <c r="M328" t="s">
        <v>370</v>
      </c>
      <c r="N328" t="s">
        <v>1543</v>
      </c>
      <c r="O328" s="2">
        <v>108</v>
      </c>
      <c r="P328">
        <v>4</v>
      </c>
      <c r="Q328" s="3">
        <v>0</v>
      </c>
      <c r="R328" s="2">
        <v>47.52</v>
      </c>
      <c r="S328" s="2">
        <v>15.8</v>
      </c>
      <c r="T328" t="s">
        <v>33</v>
      </c>
      <c r="U328">
        <v>2012</v>
      </c>
    </row>
    <row r="329" spans="1:21" x14ac:dyDescent="0.3">
      <c r="A329" t="s">
        <v>1544</v>
      </c>
      <c r="B329" s="1">
        <v>41612</v>
      </c>
      <c r="C329" s="1">
        <v>41616</v>
      </c>
      <c r="D329" t="s">
        <v>45</v>
      </c>
      <c r="E329" t="s">
        <v>1545</v>
      </c>
      <c r="F329" t="s">
        <v>36</v>
      </c>
      <c r="G329" t="s">
        <v>790</v>
      </c>
      <c r="H329" t="s">
        <v>791</v>
      </c>
      <c r="I329" t="s">
        <v>117</v>
      </c>
      <c r="J329" t="s">
        <v>117</v>
      </c>
      <c r="K329" t="s">
        <v>1546</v>
      </c>
      <c r="L329" t="s">
        <v>146</v>
      </c>
      <c r="M329" t="s">
        <v>271</v>
      </c>
      <c r="N329" t="s">
        <v>1547</v>
      </c>
      <c r="O329" s="2">
        <v>82</v>
      </c>
      <c r="P329">
        <v>1</v>
      </c>
      <c r="Q329" s="3">
        <v>0</v>
      </c>
      <c r="R329" s="2">
        <v>4.8899999999999997</v>
      </c>
      <c r="S329" s="2">
        <v>7.83</v>
      </c>
      <c r="T329" t="s">
        <v>33</v>
      </c>
      <c r="U329">
        <v>2013</v>
      </c>
    </row>
    <row r="330" spans="1:21" x14ac:dyDescent="0.3">
      <c r="A330" t="s">
        <v>1548</v>
      </c>
      <c r="B330" s="1">
        <v>41886</v>
      </c>
      <c r="C330" s="1">
        <v>41890</v>
      </c>
      <c r="D330" t="s">
        <v>45</v>
      </c>
      <c r="E330" t="s">
        <v>1549</v>
      </c>
      <c r="F330" t="s">
        <v>54</v>
      </c>
      <c r="G330" t="s">
        <v>134</v>
      </c>
      <c r="H330" t="s">
        <v>135</v>
      </c>
      <c r="I330" t="s">
        <v>136</v>
      </c>
      <c r="J330" t="s">
        <v>137</v>
      </c>
      <c r="K330" t="s">
        <v>1550</v>
      </c>
      <c r="L330" t="s">
        <v>59</v>
      </c>
      <c r="M330" t="s">
        <v>339</v>
      </c>
      <c r="N330" t="s">
        <v>1551</v>
      </c>
      <c r="O330" s="2">
        <v>240</v>
      </c>
      <c r="P330">
        <v>2</v>
      </c>
      <c r="Q330" s="3">
        <v>0.15</v>
      </c>
      <c r="R330" s="2">
        <v>14.098000000000001</v>
      </c>
      <c r="S330" s="2">
        <v>6.46</v>
      </c>
      <c r="T330" t="s">
        <v>33</v>
      </c>
      <c r="U330">
        <v>2014</v>
      </c>
    </row>
    <row r="331" spans="1:21" x14ac:dyDescent="0.3">
      <c r="A331" t="s">
        <v>1552</v>
      </c>
      <c r="B331" s="1">
        <v>41746</v>
      </c>
      <c r="C331" s="1">
        <v>41751</v>
      </c>
      <c r="D331" t="s">
        <v>22</v>
      </c>
      <c r="E331" t="s">
        <v>1190</v>
      </c>
      <c r="F331" t="s">
        <v>24</v>
      </c>
      <c r="G331" t="s">
        <v>1553</v>
      </c>
      <c r="H331" t="s">
        <v>38</v>
      </c>
      <c r="I331" t="s">
        <v>39</v>
      </c>
      <c r="J331" t="s">
        <v>40</v>
      </c>
      <c r="K331" t="s">
        <v>1554</v>
      </c>
      <c r="L331" t="s">
        <v>30</v>
      </c>
      <c r="M331" t="s">
        <v>66</v>
      </c>
      <c r="N331" t="s">
        <v>1555</v>
      </c>
      <c r="O331" s="2">
        <v>32</v>
      </c>
      <c r="P331">
        <v>6</v>
      </c>
      <c r="Q331" s="3">
        <v>0.6</v>
      </c>
      <c r="R331" s="2">
        <v>-41.064</v>
      </c>
      <c r="S331" s="2">
        <v>2.86</v>
      </c>
      <c r="T331" t="s">
        <v>33</v>
      </c>
      <c r="U331">
        <v>2014</v>
      </c>
    </row>
    <row r="332" spans="1:21" x14ac:dyDescent="0.3">
      <c r="A332" t="s">
        <v>1556</v>
      </c>
      <c r="B332" s="1">
        <v>41977</v>
      </c>
      <c r="C332" s="1">
        <v>41984</v>
      </c>
      <c r="D332" t="s">
        <v>22</v>
      </c>
      <c r="E332" t="s">
        <v>1557</v>
      </c>
      <c r="F332" t="s">
        <v>54</v>
      </c>
      <c r="G332" t="s">
        <v>1558</v>
      </c>
      <c r="H332" t="s">
        <v>1559</v>
      </c>
      <c r="I332" t="s">
        <v>49</v>
      </c>
      <c r="J332" t="s">
        <v>129</v>
      </c>
      <c r="K332" t="s">
        <v>1560</v>
      </c>
      <c r="L332" t="s">
        <v>30</v>
      </c>
      <c r="M332" t="s">
        <v>75</v>
      </c>
      <c r="N332" t="s">
        <v>1561</v>
      </c>
      <c r="O332" s="2">
        <v>11</v>
      </c>
      <c r="P332">
        <v>2</v>
      </c>
      <c r="Q332" s="3">
        <v>0.5</v>
      </c>
      <c r="R332" s="2">
        <v>-7.74</v>
      </c>
      <c r="S332" s="2">
        <v>0.28000000000000003</v>
      </c>
      <c r="T332" t="s">
        <v>33</v>
      </c>
      <c r="U332">
        <v>2014</v>
      </c>
    </row>
    <row r="333" spans="1:21" x14ac:dyDescent="0.3">
      <c r="A333" t="s">
        <v>1562</v>
      </c>
      <c r="B333" s="1">
        <v>41390</v>
      </c>
      <c r="C333" s="1">
        <v>41394</v>
      </c>
      <c r="D333" t="s">
        <v>22</v>
      </c>
      <c r="E333" t="s">
        <v>1563</v>
      </c>
      <c r="F333" t="s">
        <v>54</v>
      </c>
      <c r="G333" t="s">
        <v>854</v>
      </c>
      <c r="H333" t="s">
        <v>56</v>
      </c>
      <c r="I333" t="s">
        <v>49</v>
      </c>
      <c r="J333" t="s">
        <v>57</v>
      </c>
      <c r="K333" t="s">
        <v>1564</v>
      </c>
      <c r="L333" t="s">
        <v>30</v>
      </c>
      <c r="M333" t="s">
        <v>90</v>
      </c>
      <c r="N333" t="s">
        <v>943</v>
      </c>
      <c r="O333" s="2">
        <v>76</v>
      </c>
      <c r="P333">
        <v>3</v>
      </c>
      <c r="Q333" s="3">
        <v>0</v>
      </c>
      <c r="R333" s="2">
        <v>25.11</v>
      </c>
      <c r="S333" s="2">
        <v>3.99</v>
      </c>
      <c r="T333" t="s">
        <v>33</v>
      </c>
      <c r="U333">
        <v>2013</v>
      </c>
    </row>
    <row r="334" spans="1:21" x14ac:dyDescent="0.3">
      <c r="A334" t="s">
        <v>1565</v>
      </c>
      <c r="B334" s="1">
        <v>41824</v>
      </c>
      <c r="C334" s="1">
        <v>41827</v>
      </c>
      <c r="D334" t="s">
        <v>45</v>
      </c>
      <c r="E334" t="s">
        <v>1566</v>
      </c>
      <c r="F334" t="s">
        <v>24</v>
      </c>
      <c r="G334" t="s">
        <v>1567</v>
      </c>
      <c r="H334" t="s">
        <v>402</v>
      </c>
      <c r="I334" t="s">
        <v>39</v>
      </c>
      <c r="J334" t="s">
        <v>236</v>
      </c>
      <c r="K334" t="s">
        <v>1568</v>
      </c>
      <c r="L334" t="s">
        <v>59</v>
      </c>
      <c r="M334" t="s">
        <v>339</v>
      </c>
      <c r="N334" t="s">
        <v>1569</v>
      </c>
      <c r="O334" s="2">
        <v>334</v>
      </c>
      <c r="P334">
        <v>4</v>
      </c>
      <c r="Q334" s="3">
        <v>0</v>
      </c>
      <c r="R334" s="2">
        <v>106.72</v>
      </c>
      <c r="S334" s="2">
        <v>45.85</v>
      </c>
      <c r="T334" t="s">
        <v>99</v>
      </c>
      <c r="U334">
        <v>2014</v>
      </c>
    </row>
    <row r="335" spans="1:21" x14ac:dyDescent="0.3">
      <c r="A335" t="s">
        <v>1570</v>
      </c>
      <c r="B335" s="1">
        <v>41794</v>
      </c>
      <c r="C335" s="1">
        <v>41798</v>
      </c>
      <c r="D335" t="s">
        <v>22</v>
      </c>
      <c r="E335" t="s">
        <v>1571</v>
      </c>
      <c r="F335" t="s">
        <v>24</v>
      </c>
      <c r="G335" t="s">
        <v>1572</v>
      </c>
      <c r="H335" t="s">
        <v>1573</v>
      </c>
      <c r="I335" t="s">
        <v>27</v>
      </c>
      <c r="J335" t="s">
        <v>28</v>
      </c>
      <c r="K335" t="s">
        <v>1574</v>
      </c>
      <c r="L335" t="s">
        <v>30</v>
      </c>
      <c r="M335" t="s">
        <v>31</v>
      </c>
      <c r="N335" t="s">
        <v>1575</v>
      </c>
      <c r="O335" s="2">
        <v>53</v>
      </c>
      <c r="P335">
        <v>5</v>
      </c>
      <c r="Q335" s="3">
        <v>0</v>
      </c>
      <c r="R335" s="2">
        <v>13.2</v>
      </c>
      <c r="S335" s="2">
        <v>4.37</v>
      </c>
      <c r="T335" t="s">
        <v>33</v>
      </c>
      <c r="U335">
        <v>2014</v>
      </c>
    </row>
    <row r="336" spans="1:21" x14ac:dyDescent="0.3">
      <c r="A336" t="s">
        <v>1576</v>
      </c>
      <c r="B336" s="1">
        <v>41916</v>
      </c>
      <c r="C336" s="1">
        <v>41921</v>
      </c>
      <c r="D336" t="s">
        <v>22</v>
      </c>
      <c r="E336" t="s">
        <v>1093</v>
      </c>
      <c r="F336" t="s">
        <v>24</v>
      </c>
      <c r="G336" t="s">
        <v>37</v>
      </c>
      <c r="H336" t="s">
        <v>38</v>
      </c>
      <c r="I336" t="s">
        <v>39</v>
      </c>
      <c r="J336" t="s">
        <v>40</v>
      </c>
      <c r="K336" t="s">
        <v>1577</v>
      </c>
      <c r="L336" t="s">
        <v>59</v>
      </c>
      <c r="M336" t="s">
        <v>329</v>
      </c>
      <c r="N336" t="s">
        <v>1578</v>
      </c>
      <c r="O336" s="2">
        <v>525</v>
      </c>
      <c r="P336">
        <v>2</v>
      </c>
      <c r="Q336" s="3">
        <v>0.2</v>
      </c>
      <c r="R336" s="2">
        <v>-124.664</v>
      </c>
      <c r="S336" s="2">
        <v>46.48</v>
      </c>
      <c r="T336" t="s">
        <v>33</v>
      </c>
      <c r="U336">
        <v>2014</v>
      </c>
    </row>
    <row r="337" spans="1:21" x14ac:dyDescent="0.3">
      <c r="A337" t="s">
        <v>1579</v>
      </c>
      <c r="B337" s="1">
        <v>41947</v>
      </c>
      <c r="C337" s="1">
        <v>41952</v>
      </c>
      <c r="D337" t="s">
        <v>22</v>
      </c>
      <c r="E337" t="s">
        <v>1580</v>
      </c>
      <c r="F337" t="s">
        <v>24</v>
      </c>
      <c r="G337" t="s">
        <v>1581</v>
      </c>
      <c r="H337" t="s">
        <v>654</v>
      </c>
      <c r="I337" t="s">
        <v>117</v>
      </c>
      <c r="J337" t="s">
        <v>117</v>
      </c>
      <c r="K337" t="s">
        <v>1582</v>
      </c>
      <c r="L337" t="s">
        <v>146</v>
      </c>
      <c r="M337" t="s">
        <v>347</v>
      </c>
      <c r="N337" t="s">
        <v>1583</v>
      </c>
      <c r="O337" s="2">
        <v>527</v>
      </c>
      <c r="P337">
        <v>2</v>
      </c>
      <c r="Q337" s="3">
        <v>0</v>
      </c>
      <c r="R337" s="2">
        <v>226.8</v>
      </c>
      <c r="S337" s="2">
        <v>27.37</v>
      </c>
      <c r="T337" t="s">
        <v>33</v>
      </c>
      <c r="U337">
        <v>2014</v>
      </c>
    </row>
    <row r="338" spans="1:21" x14ac:dyDescent="0.3">
      <c r="A338" t="s">
        <v>1584</v>
      </c>
      <c r="B338" s="1">
        <v>41369</v>
      </c>
      <c r="C338" s="1">
        <v>41373</v>
      </c>
      <c r="D338" t="s">
        <v>45</v>
      </c>
      <c r="E338" t="s">
        <v>1585</v>
      </c>
      <c r="F338" t="s">
        <v>36</v>
      </c>
      <c r="G338" t="s">
        <v>395</v>
      </c>
      <c r="H338" t="s">
        <v>135</v>
      </c>
      <c r="I338" t="s">
        <v>136</v>
      </c>
      <c r="J338" t="s">
        <v>396</v>
      </c>
      <c r="K338" t="s">
        <v>1586</v>
      </c>
      <c r="L338" t="s">
        <v>59</v>
      </c>
      <c r="M338" t="s">
        <v>60</v>
      </c>
      <c r="N338" t="s">
        <v>1587</v>
      </c>
      <c r="O338" s="2">
        <v>83</v>
      </c>
      <c r="P338">
        <v>2</v>
      </c>
      <c r="Q338" s="3">
        <v>0</v>
      </c>
      <c r="R338" s="2">
        <v>7.4375999999999998</v>
      </c>
      <c r="S338" s="2">
        <v>7.27</v>
      </c>
      <c r="T338" t="s">
        <v>33</v>
      </c>
      <c r="U338">
        <v>2013</v>
      </c>
    </row>
    <row r="339" spans="1:21" x14ac:dyDescent="0.3">
      <c r="A339" t="s">
        <v>1588</v>
      </c>
      <c r="B339" s="1">
        <v>40791</v>
      </c>
      <c r="C339" s="1">
        <v>40793</v>
      </c>
      <c r="D339" t="s">
        <v>84</v>
      </c>
      <c r="E339" t="s">
        <v>1589</v>
      </c>
      <c r="F339" t="s">
        <v>24</v>
      </c>
      <c r="G339" t="s">
        <v>1590</v>
      </c>
      <c r="H339" t="s">
        <v>110</v>
      </c>
      <c r="I339" t="s">
        <v>88</v>
      </c>
      <c r="J339" t="s">
        <v>88</v>
      </c>
      <c r="K339" t="s">
        <v>1591</v>
      </c>
      <c r="L339" t="s">
        <v>59</v>
      </c>
      <c r="M339" t="s">
        <v>60</v>
      </c>
      <c r="N339" t="s">
        <v>1592</v>
      </c>
      <c r="O339" s="2">
        <v>52</v>
      </c>
      <c r="P339">
        <v>1</v>
      </c>
      <c r="Q339" s="3">
        <v>0</v>
      </c>
      <c r="R339" s="2">
        <v>14.49</v>
      </c>
      <c r="S339" s="2">
        <v>7.83</v>
      </c>
      <c r="T339" t="s">
        <v>99</v>
      </c>
      <c r="U339">
        <v>2011</v>
      </c>
    </row>
    <row r="340" spans="1:21" x14ac:dyDescent="0.3">
      <c r="A340" t="s">
        <v>1593</v>
      </c>
      <c r="B340" s="1">
        <v>41399</v>
      </c>
      <c r="C340" s="1">
        <v>41403</v>
      </c>
      <c r="D340" t="s">
        <v>22</v>
      </c>
      <c r="E340" t="s">
        <v>1486</v>
      </c>
      <c r="F340" t="s">
        <v>36</v>
      </c>
      <c r="G340" t="s">
        <v>374</v>
      </c>
      <c r="H340" t="s">
        <v>316</v>
      </c>
      <c r="I340" t="s">
        <v>27</v>
      </c>
      <c r="J340" t="s">
        <v>212</v>
      </c>
      <c r="K340" t="s">
        <v>1594</v>
      </c>
      <c r="L340" t="s">
        <v>30</v>
      </c>
      <c r="M340" t="s">
        <v>90</v>
      </c>
      <c r="N340" t="s">
        <v>1595</v>
      </c>
      <c r="O340" s="2">
        <v>85</v>
      </c>
      <c r="P340">
        <v>6</v>
      </c>
      <c r="Q340" s="3">
        <v>0.1</v>
      </c>
      <c r="R340" s="2">
        <v>18.809999999999999</v>
      </c>
      <c r="S340" s="2">
        <v>9.48</v>
      </c>
      <c r="T340" t="s">
        <v>33</v>
      </c>
      <c r="U340">
        <v>2013</v>
      </c>
    </row>
    <row r="341" spans="1:21" x14ac:dyDescent="0.3">
      <c r="A341" t="s">
        <v>1596</v>
      </c>
      <c r="B341" s="1">
        <v>40821</v>
      </c>
      <c r="C341" s="1">
        <v>40826</v>
      </c>
      <c r="D341" t="s">
        <v>22</v>
      </c>
      <c r="E341" t="s">
        <v>578</v>
      </c>
      <c r="F341" t="s">
        <v>36</v>
      </c>
      <c r="G341" t="s">
        <v>557</v>
      </c>
      <c r="H341" t="s">
        <v>558</v>
      </c>
      <c r="I341" t="s">
        <v>117</v>
      </c>
      <c r="J341" t="s">
        <v>117</v>
      </c>
      <c r="K341" t="s">
        <v>1597</v>
      </c>
      <c r="L341" t="s">
        <v>30</v>
      </c>
      <c r="M341" t="s">
        <v>31</v>
      </c>
      <c r="N341" t="s">
        <v>599</v>
      </c>
      <c r="O341" s="2">
        <v>49</v>
      </c>
      <c r="P341">
        <v>1</v>
      </c>
      <c r="Q341" s="3">
        <v>0</v>
      </c>
      <c r="R341" s="2">
        <v>21.15</v>
      </c>
      <c r="S341" s="2">
        <v>4.0599999999999996</v>
      </c>
      <c r="T341" t="s">
        <v>33</v>
      </c>
      <c r="U341">
        <v>2011</v>
      </c>
    </row>
    <row r="342" spans="1:21" x14ac:dyDescent="0.3">
      <c r="A342" t="s">
        <v>1598</v>
      </c>
      <c r="B342" s="1">
        <v>41419</v>
      </c>
      <c r="C342" s="1">
        <v>41425</v>
      </c>
      <c r="D342" t="s">
        <v>22</v>
      </c>
      <c r="E342" t="s">
        <v>1599</v>
      </c>
      <c r="F342" t="s">
        <v>54</v>
      </c>
      <c r="G342" t="s">
        <v>1600</v>
      </c>
      <c r="H342" t="s">
        <v>894</v>
      </c>
      <c r="I342" t="s">
        <v>117</v>
      </c>
      <c r="J342" t="s">
        <v>117</v>
      </c>
      <c r="K342" t="s">
        <v>1601</v>
      </c>
      <c r="L342" t="s">
        <v>30</v>
      </c>
      <c r="M342" t="s">
        <v>66</v>
      </c>
      <c r="N342" t="s">
        <v>1166</v>
      </c>
      <c r="O342" s="2">
        <v>142</v>
      </c>
      <c r="P342">
        <v>1</v>
      </c>
      <c r="Q342" s="3">
        <v>0</v>
      </c>
      <c r="R342" s="2">
        <v>36.81</v>
      </c>
      <c r="S342" s="2">
        <v>11.32</v>
      </c>
      <c r="T342" t="s">
        <v>33</v>
      </c>
      <c r="U342">
        <v>2013</v>
      </c>
    </row>
    <row r="343" spans="1:21" x14ac:dyDescent="0.3">
      <c r="A343" t="s">
        <v>1602</v>
      </c>
      <c r="B343" s="1">
        <v>40694</v>
      </c>
      <c r="C343" s="1">
        <v>40699</v>
      </c>
      <c r="D343" t="s">
        <v>22</v>
      </c>
      <c r="E343" t="s">
        <v>1603</v>
      </c>
      <c r="F343" t="s">
        <v>54</v>
      </c>
      <c r="G343" t="s">
        <v>1504</v>
      </c>
      <c r="H343" t="s">
        <v>48</v>
      </c>
      <c r="I343" t="s">
        <v>49</v>
      </c>
      <c r="J343" t="s">
        <v>40</v>
      </c>
      <c r="K343" t="s">
        <v>1604</v>
      </c>
      <c r="L343" t="s">
        <v>146</v>
      </c>
      <c r="M343" t="s">
        <v>347</v>
      </c>
      <c r="N343" t="s">
        <v>1605</v>
      </c>
      <c r="O343" s="2">
        <v>524</v>
      </c>
      <c r="P343">
        <v>2</v>
      </c>
      <c r="Q343" s="3">
        <v>0</v>
      </c>
      <c r="R343" s="2">
        <v>5.22</v>
      </c>
      <c r="S343" s="2">
        <v>52.53</v>
      </c>
      <c r="T343" t="s">
        <v>33</v>
      </c>
      <c r="U343">
        <v>2011</v>
      </c>
    </row>
    <row r="344" spans="1:21" x14ac:dyDescent="0.3">
      <c r="A344" t="s">
        <v>1606</v>
      </c>
      <c r="B344" s="1">
        <v>41051</v>
      </c>
      <c r="C344" s="1">
        <v>41054</v>
      </c>
      <c r="D344" t="s">
        <v>45</v>
      </c>
      <c r="E344" t="s">
        <v>497</v>
      </c>
      <c r="F344" t="s">
        <v>36</v>
      </c>
      <c r="G344" t="s">
        <v>1607</v>
      </c>
      <c r="H344" t="s">
        <v>1573</v>
      </c>
      <c r="I344" t="s">
        <v>27</v>
      </c>
      <c r="J344" t="s">
        <v>28</v>
      </c>
      <c r="K344" t="s">
        <v>1608</v>
      </c>
      <c r="L344" t="s">
        <v>30</v>
      </c>
      <c r="M344" t="s">
        <v>66</v>
      </c>
      <c r="N344" t="s">
        <v>1609</v>
      </c>
      <c r="O344" s="2">
        <v>11</v>
      </c>
      <c r="P344">
        <v>1</v>
      </c>
      <c r="Q344" s="3">
        <v>0</v>
      </c>
      <c r="R344" s="2">
        <v>4.38</v>
      </c>
      <c r="S344" s="2">
        <v>1.79</v>
      </c>
      <c r="T344" t="s">
        <v>99</v>
      </c>
      <c r="U344">
        <v>2012</v>
      </c>
    </row>
    <row r="345" spans="1:21" x14ac:dyDescent="0.3">
      <c r="A345" t="s">
        <v>1610</v>
      </c>
      <c r="B345" s="1">
        <v>41887</v>
      </c>
      <c r="C345" s="1">
        <v>41891</v>
      </c>
      <c r="D345" t="s">
        <v>22</v>
      </c>
      <c r="E345" t="s">
        <v>360</v>
      </c>
      <c r="F345" t="s">
        <v>54</v>
      </c>
      <c r="G345" t="s">
        <v>1611</v>
      </c>
      <c r="H345" t="s">
        <v>235</v>
      </c>
      <c r="I345" t="s">
        <v>39</v>
      </c>
      <c r="J345" t="s">
        <v>236</v>
      </c>
      <c r="K345" t="s">
        <v>1612</v>
      </c>
      <c r="L345" t="s">
        <v>146</v>
      </c>
      <c r="M345" t="s">
        <v>347</v>
      </c>
      <c r="N345" t="s">
        <v>1613</v>
      </c>
      <c r="O345" s="2">
        <v>334</v>
      </c>
      <c r="P345">
        <v>5</v>
      </c>
      <c r="Q345" s="3">
        <v>0.20200000000000001</v>
      </c>
      <c r="R345" s="2">
        <v>-17.658200000000001</v>
      </c>
      <c r="S345" s="2">
        <v>40.479999999999997</v>
      </c>
      <c r="T345" t="s">
        <v>99</v>
      </c>
      <c r="U345">
        <v>2014</v>
      </c>
    </row>
    <row r="346" spans="1:21" x14ac:dyDescent="0.3">
      <c r="A346" t="s">
        <v>1614</v>
      </c>
      <c r="B346" s="1">
        <v>41778</v>
      </c>
      <c r="C346" s="1">
        <v>41782</v>
      </c>
      <c r="D346" t="s">
        <v>45</v>
      </c>
      <c r="E346" t="s">
        <v>1615</v>
      </c>
      <c r="F346" t="s">
        <v>36</v>
      </c>
      <c r="G346" t="s">
        <v>1616</v>
      </c>
      <c r="H346" t="s">
        <v>135</v>
      </c>
      <c r="I346" t="s">
        <v>136</v>
      </c>
      <c r="J346" t="s">
        <v>57</v>
      </c>
      <c r="K346" t="s">
        <v>1617</v>
      </c>
      <c r="L346" t="s">
        <v>146</v>
      </c>
      <c r="M346" t="s">
        <v>147</v>
      </c>
      <c r="N346" t="s">
        <v>1618</v>
      </c>
      <c r="O346" s="2">
        <v>115</v>
      </c>
      <c r="P346">
        <v>5</v>
      </c>
      <c r="Q346" s="3">
        <v>0</v>
      </c>
      <c r="R346" s="2">
        <v>2.2989999999999999</v>
      </c>
      <c r="S346" s="2">
        <v>13.85</v>
      </c>
      <c r="T346" t="s">
        <v>33</v>
      </c>
      <c r="U346">
        <v>2014</v>
      </c>
    </row>
    <row r="347" spans="1:21" x14ac:dyDescent="0.3">
      <c r="A347" t="s">
        <v>1619</v>
      </c>
      <c r="B347" s="1">
        <v>41065</v>
      </c>
      <c r="C347" s="1">
        <v>41069</v>
      </c>
      <c r="D347" t="s">
        <v>22</v>
      </c>
      <c r="E347" t="s">
        <v>23</v>
      </c>
      <c r="F347" t="s">
        <v>24</v>
      </c>
      <c r="G347" t="s">
        <v>217</v>
      </c>
      <c r="H347" t="s">
        <v>218</v>
      </c>
      <c r="I347" t="s">
        <v>218</v>
      </c>
      <c r="J347" t="s">
        <v>218</v>
      </c>
      <c r="K347" t="s">
        <v>1620</v>
      </c>
      <c r="L347" t="s">
        <v>30</v>
      </c>
      <c r="M347" t="s">
        <v>410</v>
      </c>
      <c r="N347" t="s">
        <v>1621</v>
      </c>
      <c r="O347" s="2">
        <v>56</v>
      </c>
      <c r="P347">
        <v>2</v>
      </c>
      <c r="Q347" s="3">
        <v>0</v>
      </c>
      <c r="R347" s="2">
        <v>24.24</v>
      </c>
      <c r="S347" s="2">
        <v>2.2400000000000002</v>
      </c>
      <c r="T347" t="s">
        <v>33</v>
      </c>
      <c r="U347">
        <v>2012</v>
      </c>
    </row>
    <row r="348" spans="1:21" x14ac:dyDescent="0.3">
      <c r="A348" t="s">
        <v>1622</v>
      </c>
      <c r="B348" s="1">
        <v>41773</v>
      </c>
      <c r="C348" s="1">
        <v>41777</v>
      </c>
      <c r="D348" t="s">
        <v>22</v>
      </c>
      <c r="E348" t="s">
        <v>157</v>
      </c>
      <c r="F348" t="s">
        <v>24</v>
      </c>
      <c r="G348" t="s">
        <v>889</v>
      </c>
      <c r="H348" t="s">
        <v>26</v>
      </c>
      <c r="I348" t="s">
        <v>27</v>
      </c>
      <c r="J348" t="s">
        <v>28</v>
      </c>
      <c r="K348" t="s">
        <v>1623</v>
      </c>
      <c r="L348" t="s">
        <v>30</v>
      </c>
      <c r="M348" t="s">
        <v>66</v>
      </c>
      <c r="N348" t="s">
        <v>1624</v>
      </c>
      <c r="O348" s="2">
        <v>121</v>
      </c>
      <c r="P348">
        <v>3</v>
      </c>
      <c r="Q348" s="3">
        <v>0.17</v>
      </c>
      <c r="R348" s="2">
        <v>1.4499</v>
      </c>
      <c r="S348" s="2">
        <v>4.58</v>
      </c>
      <c r="T348" t="s">
        <v>33</v>
      </c>
      <c r="U348">
        <v>2014</v>
      </c>
    </row>
    <row r="349" spans="1:21" x14ac:dyDescent="0.3">
      <c r="A349" t="s">
        <v>1625</v>
      </c>
      <c r="B349" s="1">
        <v>41790</v>
      </c>
      <c r="C349" s="1">
        <v>41793</v>
      </c>
      <c r="D349" t="s">
        <v>45</v>
      </c>
      <c r="E349" t="s">
        <v>1626</v>
      </c>
      <c r="F349" t="s">
        <v>24</v>
      </c>
      <c r="G349" t="s">
        <v>127</v>
      </c>
      <c r="H349" t="s">
        <v>128</v>
      </c>
      <c r="I349" t="s">
        <v>49</v>
      </c>
      <c r="J349" t="s">
        <v>129</v>
      </c>
      <c r="K349" t="s">
        <v>1627</v>
      </c>
      <c r="L349" t="s">
        <v>146</v>
      </c>
      <c r="M349" t="s">
        <v>271</v>
      </c>
      <c r="N349" t="s">
        <v>777</v>
      </c>
      <c r="O349" s="2">
        <v>774</v>
      </c>
      <c r="P349">
        <v>3</v>
      </c>
      <c r="Q349" s="3">
        <v>0</v>
      </c>
      <c r="R349" s="2">
        <v>170.1</v>
      </c>
      <c r="S349" s="2">
        <v>75.95</v>
      </c>
      <c r="T349" t="s">
        <v>33</v>
      </c>
      <c r="U349">
        <v>2014</v>
      </c>
    </row>
    <row r="350" spans="1:21" x14ac:dyDescent="0.3">
      <c r="A350" t="s">
        <v>1628</v>
      </c>
      <c r="B350" s="1">
        <v>41248</v>
      </c>
      <c r="C350" s="1">
        <v>41249</v>
      </c>
      <c r="D350" t="s">
        <v>84</v>
      </c>
      <c r="E350" t="s">
        <v>1402</v>
      </c>
      <c r="F350" t="s">
        <v>54</v>
      </c>
      <c r="G350" t="s">
        <v>607</v>
      </c>
      <c r="H350" t="s">
        <v>235</v>
      </c>
      <c r="I350" t="s">
        <v>39</v>
      </c>
      <c r="J350" t="s">
        <v>236</v>
      </c>
      <c r="K350" t="s">
        <v>1629</v>
      </c>
      <c r="L350" t="s">
        <v>30</v>
      </c>
      <c r="M350" t="s">
        <v>75</v>
      </c>
      <c r="N350" t="s">
        <v>1630</v>
      </c>
      <c r="O350" s="2">
        <v>12</v>
      </c>
      <c r="P350">
        <v>2</v>
      </c>
      <c r="Q350" s="3">
        <v>0.2</v>
      </c>
      <c r="R350" s="2">
        <v>-1.992</v>
      </c>
      <c r="S350" s="2">
        <v>2.96</v>
      </c>
      <c r="T350" t="s">
        <v>99</v>
      </c>
      <c r="U350">
        <v>2012</v>
      </c>
    </row>
    <row r="351" spans="1:21" x14ac:dyDescent="0.3">
      <c r="A351" t="s">
        <v>1631</v>
      </c>
      <c r="B351" s="1">
        <v>41058</v>
      </c>
      <c r="C351" s="1">
        <v>41063</v>
      </c>
      <c r="D351" t="s">
        <v>22</v>
      </c>
      <c r="E351" t="s">
        <v>209</v>
      </c>
      <c r="F351" t="s">
        <v>54</v>
      </c>
      <c r="G351" t="s">
        <v>1632</v>
      </c>
      <c r="H351" t="s">
        <v>1034</v>
      </c>
      <c r="I351" t="s">
        <v>88</v>
      </c>
      <c r="J351" t="s">
        <v>88</v>
      </c>
      <c r="K351" t="s">
        <v>1633</v>
      </c>
      <c r="L351" t="s">
        <v>30</v>
      </c>
      <c r="M351" t="s">
        <v>31</v>
      </c>
      <c r="N351" t="s">
        <v>1634</v>
      </c>
      <c r="O351" s="2">
        <v>30</v>
      </c>
      <c r="P351">
        <v>1</v>
      </c>
      <c r="Q351" s="3">
        <v>0</v>
      </c>
      <c r="R351" s="2">
        <v>11.94</v>
      </c>
      <c r="S351" s="2">
        <v>1.91</v>
      </c>
      <c r="T351" t="s">
        <v>33</v>
      </c>
      <c r="U351">
        <v>2012</v>
      </c>
    </row>
    <row r="352" spans="1:21" x14ac:dyDescent="0.3">
      <c r="A352" t="s">
        <v>1635</v>
      </c>
      <c r="B352" s="1">
        <v>41430</v>
      </c>
      <c r="C352" s="1">
        <v>41437</v>
      </c>
      <c r="D352" t="s">
        <v>22</v>
      </c>
      <c r="E352" t="s">
        <v>192</v>
      </c>
      <c r="F352" t="s">
        <v>24</v>
      </c>
      <c r="G352" t="s">
        <v>602</v>
      </c>
      <c r="H352" t="s">
        <v>602</v>
      </c>
      <c r="I352" t="s">
        <v>39</v>
      </c>
      <c r="J352" t="s">
        <v>57</v>
      </c>
      <c r="K352" t="s">
        <v>1636</v>
      </c>
      <c r="L352" t="s">
        <v>30</v>
      </c>
      <c r="M352" t="s">
        <v>105</v>
      </c>
      <c r="N352" t="s">
        <v>1637</v>
      </c>
      <c r="O352" s="2">
        <v>63</v>
      </c>
      <c r="P352">
        <v>2</v>
      </c>
      <c r="Q352" s="3">
        <v>0</v>
      </c>
      <c r="R352" s="2">
        <v>1.24</v>
      </c>
      <c r="S352" s="2">
        <v>2.71</v>
      </c>
      <c r="T352" t="s">
        <v>33</v>
      </c>
      <c r="U352">
        <v>2013</v>
      </c>
    </row>
    <row r="353" spans="1:21" x14ac:dyDescent="0.3">
      <c r="A353" t="s">
        <v>1638</v>
      </c>
      <c r="B353" s="1">
        <v>41522</v>
      </c>
      <c r="C353" s="1">
        <v>41528</v>
      </c>
      <c r="D353" t="s">
        <v>22</v>
      </c>
      <c r="E353" t="s">
        <v>1639</v>
      </c>
      <c r="F353" t="s">
        <v>54</v>
      </c>
      <c r="G353" t="s">
        <v>127</v>
      </c>
      <c r="H353" t="s">
        <v>128</v>
      </c>
      <c r="I353" t="s">
        <v>49</v>
      </c>
      <c r="J353" t="s">
        <v>129</v>
      </c>
      <c r="K353" t="s">
        <v>1640</v>
      </c>
      <c r="L353" t="s">
        <v>30</v>
      </c>
      <c r="M353" t="s">
        <v>42</v>
      </c>
      <c r="N353" t="s">
        <v>1641</v>
      </c>
      <c r="O353" s="2">
        <v>249</v>
      </c>
      <c r="P353">
        <v>3</v>
      </c>
      <c r="Q353" s="3">
        <v>0</v>
      </c>
      <c r="R353" s="2">
        <v>112.14</v>
      </c>
      <c r="S353" s="2">
        <v>20.010000000000002</v>
      </c>
      <c r="T353" t="s">
        <v>33</v>
      </c>
      <c r="U353">
        <v>2013</v>
      </c>
    </row>
    <row r="354" spans="1:21" x14ac:dyDescent="0.3">
      <c r="A354" t="s">
        <v>1642</v>
      </c>
      <c r="B354" s="1">
        <v>41583</v>
      </c>
      <c r="C354" s="1">
        <v>41589</v>
      </c>
      <c r="D354" t="s">
        <v>22</v>
      </c>
      <c r="E354" t="s">
        <v>1643</v>
      </c>
      <c r="F354" t="s">
        <v>54</v>
      </c>
      <c r="G354" t="s">
        <v>64</v>
      </c>
      <c r="H354" t="s">
        <v>56</v>
      </c>
      <c r="I354" t="s">
        <v>49</v>
      </c>
      <c r="J354" t="s">
        <v>57</v>
      </c>
      <c r="K354" t="s">
        <v>1644</v>
      </c>
      <c r="L354" t="s">
        <v>30</v>
      </c>
      <c r="M354" t="s">
        <v>66</v>
      </c>
      <c r="N354" t="s">
        <v>1166</v>
      </c>
      <c r="O354" s="2">
        <v>382</v>
      </c>
      <c r="P354">
        <v>3</v>
      </c>
      <c r="Q354" s="3">
        <v>0.1</v>
      </c>
      <c r="R354" s="2">
        <v>67.941000000000003</v>
      </c>
      <c r="S354" s="2">
        <v>35.71</v>
      </c>
      <c r="T354" t="s">
        <v>33</v>
      </c>
      <c r="U354">
        <v>2013</v>
      </c>
    </row>
    <row r="355" spans="1:21" x14ac:dyDescent="0.3">
      <c r="A355" t="s">
        <v>1645</v>
      </c>
      <c r="B355" s="1">
        <v>41043</v>
      </c>
      <c r="C355" s="1">
        <v>41048</v>
      </c>
      <c r="D355" t="s">
        <v>22</v>
      </c>
      <c r="E355" t="s">
        <v>1646</v>
      </c>
      <c r="F355" t="s">
        <v>54</v>
      </c>
      <c r="G355" t="s">
        <v>1256</v>
      </c>
      <c r="H355" t="s">
        <v>38</v>
      </c>
      <c r="I355" t="s">
        <v>39</v>
      </c>
      <c r="J355" t="s">
        <v>40</v>
      </c>
      <c r="K355" t="s">
        <v>1647</v>
      </c>
      <c r="L355" t="s">
        <v>30</v>
      </c>
      <c r="M355" t="s">
        <v>105</v>
      </c>
      <c r="N355" t="s">
        <v>1648</v>
      </c>
      <c r="O355" s="2">
        <v>66</v>
      </c>
      <c r="P355">
        <v>5</v>
      </c>
      <c r="Q355" s="3">
        <v>0</v>
      </c>
      <c r="R355" s="2">
        <v>31.6</v>
      </c>
      <c r="S355" s="2">
        <v>4.3</v>
      </c>
      <c r="T355" t="s">
        <v>33</v>
      </c>
      <c r="U355">
        <v>2012</v>
      </c>
    </row>
    <row r="356" spans="1:21" x14ac:dyDescent="0.3">
      <c r="A356" t="s">
        <v>1649</v>
      </c>
      <c r="B356" s="1">
        <v>40607</v>
      </c>
      <c r="C356" s="1">
        <v>40610</v>
      </c>
      <c r="D356" t="s">
        <v>45</v>
      </c>
      <c r="E356" t="s">
        <v>1032</v>
      </c>
      <c r="F356" t="s">
        <v>54</v>
      </c>
      <c r="G356" t="s">
        <v>395</v>
      </c>
      <c r="H356" t="s">
        <v>135</v>
      </c>
      <c r="I356" t="s">
        <v>136</v>
      </c>
      <c r="J356" t="s">
        <v>396</v>
      </c>
      <c r="K356" t="s">
        <v>1650</v>
      </c>
      <c r="L356" t="s">
        <v>30</v>
      </c>
      <c r="M356" t="s">
        <v>105</v>
      </c>
      <c r="N356" t="s">
        <v>1651</v>
      </c>
      <c r="O356" s="2">
        <v>98</v>
      </c>
      <c r="P356">
        <v>2</v>
      </c>
      <c r="Q356" s="3">
        <v>0</v>
      </c>
      <c r="R356" s="2">
        <v>45.9754</v>
      </c>
      <c r="S356" s="2">
        <v>10.130000000000001</v>
      </c>
      <c r="T356" t="s">
        <v>33</v>
      </c>
      <c r="U356">
        <v>2011</v>
      </c>
    </row>
    <row r="357" spans="1:21" x14ac:dyDescent="0.3">
      <c r="A357" t="s">
        <v>1652</v>
      </c>
      <c r="B357" s="1">
        <v>41054</v>
      </c>
      <c r="C357" s="1">
        <v>41058</v>
      </c>
      <c r="D357" t="s">
        <v>22</v>
      </c>
      <c r="E357" t="s">
        <v>1653</v>
      </c>
      <c r="F357" t="s">
        <v>36</v>
      </c>
      <c r="G357" t="s">
        <v>1654</v>
      </c>
      <c r="H357" t="s">
        <v>1147</v>
      </c>
      <c r="I357" t="s">
        <v>39</v>
      </c>
      <c r="J357" t="s">
        <v>129</v>
      </c>
      <c r="K357" t="s">
        <v>1655</v>
      </c>
      <c r="L357" t="s">
        <v>59</v>
      </c>
      <c r="M357" t="s">
        <v>139</v>
      </c>
      <c r="N357" t="s">
        <v>1656</v>
      </c>
      <c r="O357" s="2">
        <v>143</v>
      </c>
      <c r="P357">
        <v>2</v>
      </c>
      <c r="Q357" s="3">
        <v>0.2</v>
      </c>
      <c r="R357" s="2">
        <v>-17.872</v>
      </c>
      <c r="S357" s="2">
        <v>5.53</v>
      </c>
      <c r="T357" t="s">
        <v>33</v>
      </c>
      <c r="U357">
        <v>2012</v>
      </c>
    </row>
    <row r="358" spans="1:21" x14ac:dyDescent="0.3">
      <c r="A358" t="s">
        <v>1657</v>
      </c>
      <c r="B358" s="1">
        <v>41052</v>
      </c>
      <c r="C358" s="1">
        <v>41056</v>
      </c>
      <c r="D358" t="s">
        <v>22</v>
      </c>
      <c r="E358" t="s">
        <v>511</v>
      </c>
      <c r="F358" t="s">
        <v>54</v>
      </c>
      <c r="G358" t="s">
        <v>617</v>
      </c>
      <c r="H358" t="s">
        <v>26</v>
      </c>
      <c r="I358" t="s">
        <v>27</v>
      </c>
      <c r="J358" t="s">
        <v>28</v>
      </c>
      <c r="K358" t="s">
        <v>1658</v>
      </c>
      <c r="L358" t="s">
        <v>30</v>
      </c>
      <c r="M358" t="s">
        <v>75</v>
      </c>
      <c r="N358" t="s">
        <v>1659</v>
      </c>
      <c r="O358" s="2">
        <v>14</v>
      </c>
      <c r="P358">
        <v>2</v>
      </c>
      <c r="Q358" s="3">
        <v>0.47</v>
      </c>
      <c r="R358" s="2">
        <v>-4.8978000000000002</v>
      </c>
      <c r="S358" s="2">
        <v>1.51</v>
      </c>
      <c r="T358" t="s">
        <v>99</v>
      </c>
      <c r="U358">
        <v>2012</v>
      </c>
    </row>
    <row r="359" spans="1:21" x14ac:dyDescent="0.3">
      <c r="A359" t="s">
        <v>1660</v>
      </c>
      <c r="B359" s="1">
        <v>41773</v>
      </c>
      <c r="C359" s="1">
        <v>41780</v>
      </c>
      <c r="D359" t="s">
        <v>22</v>
      </c>
      <c r="E359" t="s">
        <v>683</v>
      </c>
      <c r="F359" t="s">
        <v>36</v>
      </c>
      <c r="G359" t="s">
        <v>134</v>
      </c>
      <c r="H359" t="s">
        <v>135</v>
      </c>
      <c r="I359" t="s">
        <v>136</v>
      </c>
      <c r="J359" t="s">
        <v>137</v>
      </c>
      <c r="K359" t="s">
        <v>258</v>
      </c>
      <c r="L359" t="s">
        <v>30</v>
      </c>
      <c r="M359" t="s">
        <v>75</v>
      </c>
      <c r="N359" t="s">
        <v>259</v>
      </c>
      <c r="O359" s="2">
        <v>58</v>
      </c>
      <c r="P359">
        <v>8</v>
      </c>
      <c r="Q359" s="3">
        <v>0</v>
      </c>
      <c r="R359" s="2">
        <v>27.485600000000002</v>
      </c>
      <c r="S359" s="2">
        <v>5.81</v>
      </c>
      <c r="T359" t="s">
        <v>33</v>
      </c>
      <c r="U359">
        <v>2014</v>
      </c>
    </row>
    <row r="360" spans="1:21" x14ac:dyDescent="0.3">
      <c r="A360" t="s">
        <v>1661</v>
      </c>
      <c r="B360" s="1">
        <v>40690</v>
      </c>
      <c r="C360" s="1">
        <v>40696</v>
      </c>
      <c r="D360" t="s">
        <v>22</v>
      </c>
      <c r="E360" t="s">
        <v>1662</v>
      </c>
      <c r="F360" t="s">
        <v>24</v>
      </c>
      <c r="G360" t="s">
        <v>1663</v>
      </c>
      <c r="H360" t="s">
        <v>1111</v>
      </c>
      <c r="I360" t="s">
        <v>88</v>
      </c>
      <c r="J360" t="s">
        <v>88</v>
      </c>
      <c r="K360" t="s">
        <v>1664</v>
      </c>
      <c r="L360" t="s">
        <v>59</v>
      </c>
      <c r="M360" t="s">
        <v>60</v>
      </c>
      <c r="N360" t="s">
        <v>1665</v>
      </c>
      <c r="O360" s="2">
        <v>49</v>
      </c>
      <c r="P360">
        <v>1</v>
      </c>
      <c r="Q360" s="3">
        <v>0</v>
      </c>
      <c r="R360" s="2">
        <v>16.59</v>
      </c>
      <c r="S360" s="2">
        <v>3.97</v>
      </c>
      <c r="T360" t="s">
        <v>33</v>
      </c>
      <c r="U360">
        <v>2011</v>
      </c>
    </row>
    <row r="361" spans="1:21" x14ac:dyDescent="0.3">
      <c r="A361" t="s">
        <v>1666</v>
      </c>
      <c r="B361" s="1">
        <v>41775</v>
      </c>
      <c r="C361" s="1">
        <v>41781</v>
      </c>
      <c r="D361" t="s">
        <v>22</v>
      </c>
      <c r="E361" t="s">
        <v>1109</v>
      </c>
      <c r="F361" t="s">
        <v>54</v>
      </c>
      <c r="G361" t="s">
        <v>1667</v>
      </c>
      <c r="H361" t="s">
        <v>1668</v>
      </c>
      <c r="I361" t="s">
        <v>117</v>
      </c>
      <c r="J361" t="s">
        <v>117</v>
      </c>
      <c r="K361" t="s">
        <v>1669</v>
      </c>
      <c r="L361" t="s">
        <v>30</v>
      </c>
      <c r="M361" t="s">
        <v>31</v>
      </c>
      <c r="N361" t="s">
        <v>1670</v>
      </c>
      <c r="O361" s="2">
        <v>169</v>
      </c>
      <c r="P361">
        <v>6</v>
      </c>
      <c r="Q361" s="3">
        <v>0</v>
      </c>
      <c r="R361" s="2">
        <v>0</v>
      </c>
      <c r="S361" s="2">
        <v>11.85</v>
      </c>
      <c r="T361" t="s">
        <v>33</v>
      </c>
      <c r="U361">
        <v>2014</v>
      </c>
    </row>
    <row r="362" spans="1:21" x14ac:dyDescent="0.3">
      <c r="A362" t="s">
        <v>1671</v>
      </c>
      <c r="B362" s="1">
        <v>41409</v>
      </c>
      <c r="C362" s="1">
        <v>41413</v>
      </c>
      <c r="D362" t="s">
        <v>22</v>
      </c>
      <c r="E362" t="s">
        <v>721</v>
      </c>
      <c r="F362" t="s">
        <v>36</v>
      </c>
      <c r="G362" t="s">
        <v>1672</v>
      </c>
      <c r="H362" t="s">
        <v>1672</v>
      </c>
      <c r="I362" t="s">
        <v>27</v>
      </c>
      <c r="J362" t="s">
        <v>28</v>
      </c>
      <c r="K362" t="s">
        <v>1673</v>
      </c>
      <c r="L362" t="s">
        <v>146</v>
      </c>
      <c r="M362" t="s">
        <v>147</v>
      </c>
      <c r="N362" t="s">
        <v>1674</v>
      </c>
      <c r="O362" s="2">
        <v>1215</v>
      </c>
      <c r="P362">
        <v>8</v>
      </c>
      <c r="Q362" s="3">
        <v>0</v>
      </c>
      <c r="R362" s="2">
        <v>413.04</v>
      </c>
      <c r="S362" s="2">
        <v>178.88</v>
      </c>
      <c r="T362" t="s">
        <v>99</v>
      </c>
      <c r="U362">
        <v>2013</v>
      </c>
    </row>
    <row r="363" spans="1:21" x14ac:dyDescent="0.3">
      <c r="A363" t="s">
        <v>1675</v>
      </c>
      <c r="B363" s="1">
        <v>41703</v>
      </c>
      <c r="C363" s="1">
        <v>41707</v>
      </c>
      <c r="D363" t="s">
        <v>22</v>
      </c>
      <c r="E363" t="s">
        <v>1676</v>
      </c>
      <c r="F363" t="s">
        <v>36</v>
      </c>
      <c r="G363" t="s">
        <v>1677</v>
      </c>
      <c r="H363" t="s">
        <v>791</v>
      </c>
      <c r="I363" t="s">
        <v>117</v>
      </c>
      <c r="J363" t="s">
        <v>117</v>
      </c>
      <c r="K363" t="s">
        <v>1678</v>
      </c>
      <c r="L363" t="s">
        <v>146</v>
      </c>
      <c r="M363" t="s">
        <v>147</v>
      </c>
      <c r="N363" t="s">
        <v>1679</v>
      </c>
      <c r="O363" s="2">
        <v>339</v>
      </c>
      <c r="P363">
        <v>2</v>
      </c>
      <c r="Q363" s="3">
        <v>0</v>
      </c>
      <c r="R363" s="2">
        <v>67.8</v>
      </c>
      <c r="S363" s="2">
        <v>45.86</v>
      </c>
      <c r="T363" t="s">
        <v>99</v>
      </c>
      <c r="U363">
        <v>2014</v>
      </c>
    </row>
    <row r="364" spans="1:21" x14ac:dyDescent="0.3">
      <c r="A364" t="s">
        <v>1680</v>
      </c>
      <c r="B364" s="1">
        <v>41583</v>
      </c>
      <c r="C364" s="1">
        <v>41586</v>
      </c>
      <c r="D364" t="s">
        <v>84</v>
      </c>
      <c r="E364" t="s">
        <v>1681</v>
      </c>
      <c r="F364" t="s">
        <v>24</v>
      </c>
      <c r="G364" t="s">
        <v>1682</v>
      </c>
      <c r="H364" t="s">
        <v>801</v>
      </c>
      <c r="I364" t="s">
        <v>117</v>
      </c>
      <c r="J364" t="s">
        <v>117</v>
      </c>
      <c r="K364" t="s">
        <v>1683</v>
      </c>
      <c r="L364" t="s">
        <v>30</v>
      </c>
      <c r="M364" t="s">
        <v>75</v>
      </c>
      <c r="N364" t="s">
        <v>1684</v>
      </c>
      <c r="O364" s="2">
        <v>19</v>
      </c>
      <c r="P364">
        <v>4</v>
      </c>
      <c r="Q364" s="3">
        <v>0</v>
      </c>
      <c r="R364" s="2">
        <v>5.76</v>
      </c>
      <c r="S364" s="2">
        <v>1.08</v>
      </c>
      <c r="T364" t="s">
        <v>33</v>
      </c>
      <c r="U364">
        <v>2013</v>
      </c>
    </row>
    <row r="365" spans="1:21" x14ac:dyDescent="0.3">
      <c r="A365" t="s">
        <v>1685</v>
      </c>
      <c r="B365" s="1">
        <v>41409</v>
      </c>
      <c r="C365" s="1">
        <v>41414</v>
      </c>
      <c r="D365" t="s">
        <v>22</v>
      </c>
      <c r="E365" t="s">
        <v>1686</v>
      </c>
      <c r="F365" t="s">
        <v>24</v>
      </c>
      <c r="G365" t="s">
        <v>964</v>
      </c>
      <c r="H365" t="s">
        <v>791</v>
      </c>
      <c r="I365" t="s">
        <v>117</v>
      </c>
      <c r="J365" t="s">
        <v>117</v>
      </c>
      <c r="K365" t="s">
        <v>1687</v>
      </c>
      <c r="L365" t="s">
        <v>146</v>
      </c>
      <c r="M365" t="s">
        <v>195</v>
      </c>
      <c r="N365" t="s">
        <v>1688</v>
      </c>
      <c r="O365" s="2">
        <v>313</v>
      </c>
      <c r="P365">
        <v>1</v>
      </c>
      <c r="Q365" s="3">
        <v>0</v>
      </c>
      <c r="R365" s="2">
        <v>3.12</v>
      </c>
      <c r="S365" s="2">
        <v>30.05</v>
      </c>
      <c r="T365" t="s">
        <v>33</v>
      </c>
      <c r="U365">
        <v>2013</v>
      </c>
    </row>
    <row r="366" spans="1:21" x14ac:dyDescent="0.3">
      <c r="A366" t="s">
        <v>1689</v>
      </c>
      <c r="B366" s="1">
        <v>41789</v>
      </c>
      <c r="C366" s="1">
        <v>41794</v>
      </c>
      <c r="D366" t="s">
        <v>22</v>
      </c>
      <c r="E366" t="s">
        <v>1690</v>
      </c>
      <c r="F366" t="s">
        <v>54</v>
      </c>
      <c r="G366" t="s">
        <v>337</v>
      </c>
      <c r="H366" t="s">
        <v>316</v>
      </c>
      <c r="I366" t="s">
        <v>27</v>
      </c>
      <c r="J366" t="s">
        <v>212</v>
      </c>
      <c r="K366" t="s">
        <v>1691</v>
      </c>
      <c r="L366" t="s">
        <v>30</v>
      </c>
      <c r="M366" t="s">
        <v>31</v>
      </c>
      <c r="N366" t="s">
        <v>119</v>
      </c>
      <c r="O366" s="2">
        <v>10</v>
      </c>
      <c r="P366">
        <v>2</v>
      </c>
      <c r="Q366" s="3">
        <v>0</v>
      </c>
      <c r="R366" s="2">
        <v>4.4400000000000004</v>
      </c>
      <c r="S366" s="2">
        <v>0.42</v>
      </c>
      <c r="T366" t="s">
        <v>99</v>
      </c>
      <c r="U366">
        <v>2014</v>
      </c>
    </row>
    <row r="367" spans="1:21" x14ac:dyDescent="0.3">
      <c r="A367" t="s">
        <v>1692</v>
      </c>
      <c r="B367" s="1">
        <v>41780</v>
      </c>
      <c r="C367" s="1">
        <v>41784</v>
      </c>
      <c r="D367" t="s">
        <v>22</v>
      </c>
      <c r="E367" t="s">
        <v>1693</v>
      </c>
      <c r="F367" t="s">
        <v>54</v>
      </c>
      <c r="G367" t="s">
        <v>315</v>
      </c>
      <c r="H367" t="s">
        <v>316</v>
      </c>
      <c r="I367" t="s">
        <v>27</v>
      </c>
      <c r="J367" t="s">
        <v>212</v>
      </c>
      <c r="K367" t="s">
        <v>1694</v>
      </c>
      <c r="L367" t="s">
        <v>30</v>
      </c>
      <c r="M367" t="s">
        <v>31</v>
      </c>
      <c r="N367" t="s">
        <v>1695</v>
      </c>
      <c r="O367" s="2">
        <v>30</v>
      </c>
      <c r="P367">
        <v>3</v>
      </c>
      <c r="Q367" s="3">
        <v>0.1</v>
      </c>
      <c r="R367" s="2">
        <v>10.053000000000001</v>
      </c>
      <c r="S367" s="2">
        <v>2.2200000000000002</v>
      </c>
      <c r="T367" t="s">
        <v>33</v>
      </c>
      <c r="U367">
        <v>2014</v>
      </c>
    </row>
    <row r="368" spans="1:21" x14ac:dyDescent="0.3">
      <c r="A368" t="s">
        <v>1696</v>
      </c>
      <c r="B368" s="1">
        <v>41583</v>
      </c>
      <c r="C368" s="1">
        <v>41589</v>
      </c>
      <c r="D368" t="s">
        <v>22</v>
      </c>
      <c r="E368" t="s">
        <v>767</v>
      </c>
      <c r="F368" t="s">
        <v>54</v>
      </c>
      <c r="G368" t="s">
        <v>1270</v>
      </c>
      <c r="H368" t="s">
        <v>1147</v>
      </c>
      <c r="I368" t="s">
        <v>39</v>
      </c>
      <c r="J368" t="s">
        <v>129</v>
      </c>
      <c r="K368" t="s">
        <v>1697</v>
      </c>
      <c r="L368" t="s">
        <v>30</v>
      </c>
      <c r="M368" t="s">
        <v>75</v>
      </c>
      <c r="N368" t="s">
        <v>1698</v>
      </c>
      <c r="O368" s="2">
        <v>9</v>
      </c>
      <c r="P368">
        <v>2</v>
      </c>
      <c r="Q368" s="3">
        <v>0</v>
      </c>
      <c r="R368" s="2">
        <v>3.72</v>
      </c>
      <c r="S368" s="2">
        <v>0.48</v>
      </c>
      <c r="T368" t="s">
        <v>33</v>
      </c>
      <c r="U368">
        <v>2013</v>
      </c>
    </row>
    <row r="369" spans="1:21" x14ac:dyDescent="0.3">
      <c r="A369" t="s">
        <v>1699</v>
      </c>
      <c r="B369" s="1">
        <v>41780</v>
      </c>
      <c r="C369" s="1">
        <v>41786</v>
      </c>
      <c r="D369" t="s">
        <v>22</v>
      </c>
      <c r="E369" t="s">
        <v>1700</v>
      </c>
      <c r="F369" t="s">
        <v>36</v>
      </c>
      <c r="G369" t="s">
        <v>1214</v>
      </c>
      <c r="H369" t="s">
        <v>152</v>
      </c>
      <c r="I369" t="s">
        <v>27</v>
      </c>
      <c r="J369" t="s">
        <v>153</v>
      </c>
      <c r="K369" t="s">
        <v>1701</v>
      </c>
      <c r="L369" t="s">
        <v>30</v>
      </c>
      <c r="M369" t="s">
        <v>75</v>
      </c>
      <c r="N369" t="s">
        <v>1702</v>
      </c>
      <c r="O369" s="2">
        <v>64</v>
      </c>
      <c r="P369">
        <v>6</v>
      </c>
      <c r="Q369" s="3">
        <v>0</v>
      </c>
      <c r="R369" s="2">
        <v>21.06</v>
      </c>
      <c r="S369" s="2">
        <v>1.51</v>
      </c>
      <c r="T369" t="s">
        <v>33</v>
      </c>
      <c r="U369">
        <v>2014</v>
      </c>
    </row>
    <row r="370" spans="1:21" x14ac:dyDescent="0.3">
      <c r="A370" t="s">
        <v>1703</v>
      </c>
      <c r="B370" s="1">
        <v>41218</v>
      </c>
      <c r="C370" s="1">
        <v>41218</v>
      </c>
      <c r="D370" t="s">
        <v>232</v>
      </c>
      <c r="E370" t="s">
        <v>771</v>
      </c>
      <c r="F370" t="s">
        <v>54</v>
      </c>
      <c r="G370" t="s">
        <v>134</v>
      </c>
      <c r="H370" t="s">
        <v>135</v>
      </c>
      <c r="I370" t="s">
        <v>136</v>
      </c>
      <c r="J370" t="s">
        <v>137</v>
      </c>
      <c r="K370" t="s">
        <v>1704</v>
      </c>
      <c r="L370" t="s">
        <v>30</v>
      </c>
      <c r="M370" t="s">
        <v>66</v>
      </c>
      <c r="N370" t="s">
        <v>1705</v>
      </c>
      <c r="O370" s="2">
        <v>63</v>
      </c>
      <c r="P370">
        <v>4</v>
      </c>
      <c r="Q370" s="3">
        <v>0</v>
      </c>
      <c r="R370" s="2">
        <v>15.7</v>
      </c>
      <c r="S370" s="2">
        <v>11.68</v>
      </c>
      <c r="T370" t="s">
        <v>99</v>
      </c>
      <c r="U370">
        <v>2012</v>
      </c>
    </row>
    <row r="371" spans="1:21" x14ac:dyDescent="0.3">
      <c r="A371" t="s">
        <v>1706</v>
      </c>
      <c r="B371" s="1">
        <v>40682</v>
      </c>
      <c r="C371" s="1">
        <v>40686</v>
      </c>
      <c r="D371" t="s">
        <v>22</v>
      </c>
      <c r="E371" t="s">
        <v>1707</v>
      </c>
      <c r="F371" t="s">
        <v>24</v>
      </c>
      <c r="G371" t="s">
        <v>662</v>
      </c>
      <c r="H371" t="s">
        <v>316</v>
      </c>
      <c r="I371" t="s">
        <v>27</v>
      </c>
      <c r="J371" t="s">
        <v>212</v>
      </c>
      <c r="K371" t="s">
        <v>1708</v>
      </c>
      <c r="L371" t="s">
        <v>59</v>
      </c>
      <c r="M371" t="s">
        <v>139</v>
      </c>
      <c r="N371" t="s">
        <v>277</v>
      </c>
      <c r="O371" s="2">
        <v>85</v>
      </c>
      <c r="P371">
        <v>3</v>
      </c>
      <c r="Q371" s="3">
        <v>0.4</v>
      </c>
      <c r="R371" s="2">
        <v>-22.77</v>
      </c>
      <c r="S371" s="2">
        <v>8.8800000000000008</v>
      </c>
      <c r="T371" t="s">
        <v>99</v>
      </c>
      <c r="U371">
        <v>2011</v>
      </c>
    </row>
    <row r="372" spans="1:21" x14ac:dyDescent="0.3">
      <c r="A372" t="s">
        <v>1709</v>
      </c>
      <c r="B372" s="1">
        <v>40729</v>
      </c>
      <c r="C372" s="1">
        <v>40729</v>
      </c>
      <c r="D372" t="s">
        <v>232</v>
      </c>
      <c r="E372" t="s">
        <v>1710</v>
      </c>
      <c r="F372" t="s">
        <v>54</v>
      </c>
      <c r="G372" t="s">
        <v>569</v>
      </c>
      <c r="H372" t="s">
        <v>135</v>
      </c>
      <c r="I372" t="s">
        <v>136</v>
      </c>
      <c r="J372" t="s">
        <v>57</v>
      </c>
      <c r="K372" t="s">
        <v>1711</v>
      </c>
      <c r="L372" t="s">
        <v>30</v>
      </c>
      <c r="M372" t="s">
        <v>66</v>
      </c>
      <c r="N372" t="s">
        <v>1712</v>
      </c>
      <c r="O372" s="2">
        <v>281</v>
      </c>
      <c r="P372">
        <v>11</v>
      </c>
      <c r="Q372" s="3">
        <v>0.2</v>
      </c>
      <c r="R372" s="2">
        <v>-35.177999999999997</v>
      </c>
      <c r="S372" s="2">
        <v>5.28</v>
      </c>
      <c r="T372" t="s">
        <v>33</v>
      </c>
      <c r="U372">
        <v>2011</v>
      </c>
    </row>
    <row r="373" spans="1:21" x14ac:dyDescent="0.3">
      <c r="A373" t="s">
        <v>1713</v>
      </c>
      <c r="B373" s="1">
        <v>41887</v>
      </c>
      <c r="C373" s="1">
        <v>41892</v>
      </c>
      <c r="D373" t="s">
        <v>45</v>
      </c>
      <c r="E373" t="s">
        <v>1406</v>
      </c>
      <c r="F373" t="s">
        <v>54</v>
      </c>
      <c r="G373" t="s">
        <v>1049</v>
      </c>
      <c r="H373" t="s">
        <v>135</v>
      </c>
      <c r="I373" t="s">
        <v>136</v>
      </c>
      <c r="J373" t="s">
        <v>396</v>
      </c>
      <c r="K373" t="s">
        <v>1714</v>
      </c>
      <c r="L373" t="s">
        <v>30</v>
      </c>
      <c r="M373" t="s">
        <v>90</v>
      </c>
      <c r="N373" t="s">
        <v>1715</v>
      </c>
      <c r="O373" s="2">
        <v>8</v>
      </c>
      <c r="P373">
        <v>4</v>
      </c>
      <c r="Q373" s="3">
        <v>0.2</v>
      </c>
      <c r="R373" s="2">
        <v>0.61919999999999997</v>
      </c>
      <c r="S373" s="2">
        <v>0.63</v>
      </c>
      <c r="T373" t="s">
        <v>33</v>
      </c>
      <c r="U373">
        <v>2014</v>
      </c>
    </row>
    <row r="374" spans="1:21" x14ac:dyDescent="0.3">
      <c r="A374" t="s">
        <v>1716</v>
      </c>
      <c r="B374" s="1">
        <v>41418</v>
      </c>
      <c r="C374" s="1">
        <v>41423</v>
      </c>
      <c r="D374" t="s">
        <v>22</v>
      </c>
      <c r="E374" t="s">
        <v>1717</v>
      </c>
      <c r="F374" t="s">
        <v>54</v>
      </c>
      <c r="G374" t="s">
        <v>158</v>
      </c>
      <c r="H374" t="s">
        <v>135</v>
      </c>
      <c r="I374" t="s">
        <v>136</v>
      </c>
      <c r="J374" t="s">
        <v>57</v>
      </c>
      <c r="K374" t="s">
        <v>1718</v>
      </c>
      <c r="L374" t="s">
        <v>146</v>
      </c>
      <c r="M374" t="s">
        <v>147</v>
      </c>
      <c r="N374" t="s">
        <v>1719</v>
      </c>
      <c r="O374" s="2">
        <v>1980</v>
      </c>
      <c r="P374">
        <v>9</v>
      </c>
      <c r="Q374" s="3">
        <v>0.2</v>
      </c>
      <c r="R374" s="2">
        <v>148.49459999999999</v>
      </c>
      <c r="S374" s="2">
        <v>142.88999999999999</v>
      </c>
      <c r="T374" t="s">
        <v>33</v>
      </c>
      <c r="U374">
        <v>2013</v>
      </c>
    </row>
    <row r="375" spans="1:21" x14ac:dyDescent="0.3">
      <c r="A375" t="s">
        <v>1720</v>
      </c>
      <c r="B375" s="1">
        <v>41786</v>
      </c>
      <c r="C375" s="1">
        <v>41791</v>
      </c>
      <c r="D375" t="s">
        <v>45</v>
      </c>
      <c r="E375" t="s">
        <v>1721</v>
      </c>
      <c r="F375" t="s">
        <v>36</v>
      </c>
      <c r="G375" t="s">
        <v>1722</v>
      </c>
      <c r="H375" t="s">
        <v>1723</v>
      </c>
      <c r="I375" t="s">
        <v>39</v>
      </c>
      <c r="J375" t="s">
        <v>40</v>
      </c>
      <c r="K375" t="s">
        <v>1724</v>
      </c>
      <c r="L375" t="s">
        <v>30</v>
      </c>
      <c r="M375" t="s">
        <v>105</v>
      </c>
      <c r="N375" t="s">
        <v>1725</v>
      </c>
      <c r="O375" s="2">
        <v>18</v>
      </c>
      <c r="P375">
        <v>1</v>
      </c>
      <c r="Q375" s="3">
        <v>0</v>
      </c>
      <c r="R375" s="2">
        <v>2.64</v>
      </c>
      <c r="S375" s="2">
        <v>2.31</v>
      </c>
      <c r="T375" t="s">
        <v>99</v>
      </c>
      <c r="U375">
        <v>2014</v>
      </c>
    </row>
    <row r="376" spans="1:21" x14ac:dyDescent="0.3">
      <c r="A376" t="s">
        <v>1726</v>
      </c>
      <c r="B376" s="1">
        <v>41948</v>
      </c>
      <c r="C376" s="1">
        <v>41951</v>
      </c>
      <c r="D376" t="s">
        <v>84</v>
      </c>
      <c r="E376" t="s">
        <v>1727</v>
      </c>
      <c r="F376" t="s">
        <v>24</v>
      </c>
      <c r="G376" t="s">
        <v>1728</v>
      </c>
      <c r="H376" t="s">
        <v>654</v>
      </c>
      <c r="I376" t="s">
        <v>117</v>
      </c>
      <c r="J376" t="s">
        <v>117</v>
      </c>
      <c r="K376" t="s">
        <v>1729</v>
      </c>
      <c r="L376" t="s">
        <v>30</v>
      </c>
      <c r="M376" t="s">
        <v>370</v>
      </c>
      <c r="N376" t="s">
        <v>1730</v>
      </c>
      <c r="O376" s="2">
        <v>27</v>
      </c>
      <c r="P376">
        <v>1</v>
      </c>
      <c r="Q376" s="3">
        <v>0</v>
      </c>
      <c r="R376" s="2">
        <v>11.19</v>
      </c>
      <c r="S376" s="2">
        <v>6.55</v>
      </c>
      <c r="T376" t="s">
        <v>68</v>
      </c>
      <c r="U376">
        <v>2014</v>
      </c>
    </row>
    <row r="377" spans="1:21" x14ac:dyDescent="0.3">
      <c r="A377" t="s">
        <v>1731</v>
      </c>
      <c r="B377" s="1">
        <v>40684</v>
      </c>
      <c r="C377" s="1">
        <v>40687</v>
      </c>
      <c r="D377" t="s">
        <v>84</v>
      </c>
      <c r="E377" t="s">
        <v>1732</v>
      </c>
      <c r="F377" t="s">
        <v>36</v>
      </c>
      <c r="G377" t="s">
        <v>1733</v>
      </c>
      <c r="H377" t="s">
        <v>408</v>
      </c>
      <c r="I377" t="s">
        <v>39</v>
      </c>
      <c r="J377" t="s">
        <v>40</v>
      </c>
      <c r="K377" t="s">
        <v>1734</v>
      </c>
      <c r="L377" t="s">
        <v>30</v>
      </c>
      <c r="M377" t="s">
        <v>42</v>
      </c>
      <c r="N377" t="s">
        <v>1735</v>
      </c>
      <c r="O377" s="2">
        <v>1054</v>
      </c>
      <c r="P377">
        <v>5</v>
      </c>
      <c r="Q377" s="3">
        <v>0.4</v>
      </c>
      <c r="R377" s="2">
        <v>-316.27999999999997</v>
      </c>
      <c r="S377" s="2">
        <v>45.24</v>
      </c>
      <c r="T377" t="s">
        <v>33</v>
      </c>
      <c r="U377">
        <v>2011</v>
      </c>
    </row>
    <row r="378" spans="1:21" x14ac:dyDescent="0.3">
      <c r="A378" t="s">
        <v>1736</v>
      </c>
      <c r="B378" s="1">
        <v>41887</v>
      </c>
      <c r="C378" s="1">
        <v>41893</v>
      </c>
      <c r="D378" t="s">
        <v>22</v>
      </c>
      <c r="E378" t="s">
        <v>1361</v>
      </c>
      <c r="F378" t="s">
        <v>24</v>
      </c>
      <c r="G378" t="s">
        <v>1524</v>
      </c>
      <c r="H378" t="s">
        <v>205</v>
      </c>
      <c r="I378" t="s">
        <v>49</v>
      </c>
      <c r="J378" t="s">
        <v>57</v>
      </c>
      <c r="K378" t="s">
        <v>1737</v>
      </c>
      <c r="L378" t="s">
        <v>30</v>
      </c>
      <c r="M378" t="s">
        <v>97</v>
      </c>
      <c r="N378" t="s">
        <v>1738</v>
      </c>
      <c r="O378" s="2">
        <v>97</v>
      </c>
      <c r="P378">
        <v>7</v>
      </c>
      <c r="Q378" s="3">
        <v>0</v>
      </c>
      <c r="R378" s="2">
        <v>23.1</v>
      </c>
      <c r="S378" s="2">
        <v>10.38</v>
      </c>
      <c r="T378" t="s">
        <v>77</v>
      </c>
      <c r="U378">
        <v>2014</v>
      </c>
    </row>
    <row r="379" spans="1:21" x14ac:dyDescent="0.3">
      <c r="A379" t="s">
        <v>1739</v>
      </c>
      <c r="B379" s="1">
        <v>41310</v>
      </c>
      <c r="C379" s="1">
        <v>41312</v>
      </c>
      <c r="D379" t="s">
        <v>45</v>
      </c>
      <c r="E379" t="s">
        <v>621</v>
      </c>
      <c r="F379" t="s">
        <v>36</v>
      </c>
      <c r="G379" t="s">
        <v>1740</v>
      </c>
      <c r="H379" t="s">
        <v>894</v>
      </c>
      <c r="I379" t="s">
        <v>117</v>
      </c>
      <c r="J379" t="s">
        <v>117</v>
      </c>
      <c r="K379" t="s">
        <v>1741</v>
      </c>
      <c r="L379" t="s">
        <v>59</v>
      </c>
      <c r="M379" t="s">
        <v>339</v>
      </c>
      <c r="N379" t="s">
        <v>1742</v>
      </c>
      <c r="O379" s="2">
        <v>2616</v>
      </c>
      <c r="P379">
        <v>6</v>
      </c>
      <c r="Q379" s="3">
        <v>0</v>
      </c>
      <c r="R379" s="2">
        <v>1072.44</v>
      </c>
      <c r="S379" s="2">
        <v>384.41</v>
      </c>
      <c r="T379" t="s">
        <v>68</v>
      </c>
      <c r="U379">
        <v>2013</v>
      </c>
    </row>
    <row r="380" spans="1:21" x14ac:dyDescent="0.3">
      <c r="A380" t="s">
        <v>1743</v>
      </c>
      <c r="B380" s="1">
        <v>40882</v>
      </c>
      <c r="C380" s="1">
        <v>40889</v>
      </c>
      <c r="D380" t="s">
        <v>22</v>
      </c>
      <c r="E380" t="s">
        <v>506</v>
      </c>
      <c r="F380" t="s">
        <v>24</v>
      </c>
      <c r="G380" t="s">
        <v>1744</v>
      </c>
      <c r="H380" t="s">
        <v>1745</v>
      </c>
      <c r="I380" t="s">
        <v>117</v>
      </c>
      <c r="J380" t="s">
        <v>117</v>
      </c>
      <c r="K380" t="s">
        <v>1746</v>
      </c>
      <c r="L380" t="s">
        <v>30</v>
      </c>
      <c r="M380" t="s">
        <v>75</v>
      </c>
      <c r="N380" t="s">
        <v>1747</v>
      </c>
      <c r="O380" s="2">
        <v>29</v>
      </c>
      <c r="P380">
        <v>4</v>
      </c>
      <c r="Q380" s="3">
        <v>0</v>
      </c>
      <c r="R380" s="2">
        <v>11.04</v>
      </c>
      <c r="S380" s="2">
        <v>2.19</v>
      </c>
      <c r="T380" t="s">
        <v>33</v>
      </c>
      <c r="U380">
        <v>2011</v>
      </c>
    </row>
    <row r="381" spans="1:21" x14ac:dyDescent="0.3">
      <c r="A381" t="s">
        <v>1748</v>
      </c>
      <c r="B381" s="1">
        <v>41773</v>
      </c>
      <c r="C381" s="1">
        <v>41775</v>
      </c>
      <c r="D381" t="s">
        <v>45</v>
      </c>
      <c r="E381" t="s">
        <v>1026</v>
      </c>
      <c r="F381" t="s">
        <v>36</v>
      </c>
      <c r="G381" t="s">
        <v>1749</v>
      </c>
      <c r="H381" t="s">
        <v>152</v>
      </c>
      <c r="I381" t="s">
        <v>27</v>
      </c>
      <c r="J381" t="s">
        <v>153</v>
      </c>
      <c r="K381" t="s">
        <v>1750</v>
      </c>
      <c r="L381" t="s">
        <v>30</v>
      </c>
      <c r="M381" t="s">
        <v>97</v>
      </c>
      <c r="N381" t="s">
        <v>1751</v>
      </c>
      <c r="O381" s="2">
        <v>17</v>
      </c>
      <c r="P381">
        <v>2</v>
      </c>
      <c r="Q381" s="3">
        <v>0</v>
      </c>
      <c r="R381" s="2">
        <v>0.78</v>
      </c>
      <c r="S381" s="2">
        <v>3.72</v>
      </c>
      <c r="T381" t="s">
        <v>99</v>
      </c>
      <c r="U381">
        <v>2014</v>
      </c>
    </row>
    <row r="382" spans="1:21" x14ac:dyDescent="0.3">
      <c r="A382" t="s">
        <v>1752</v>
      </c>
      <c r="B382" s="1">
        <v>41418</v>
      </c>
      <c r="C382" s="1">
        <v>41424</v>
      </c>
      <c r="D382" t="s">
        <v>22</v>
      </c>
      <c r="E382" t="s">
        <v>483</v>
      </c>
      <c r="F382" t="s">
        <v>54</v>
      </c>
      <c r="G382" t="s">
        <v>127</v>
      </c>
      <c r="H382" t="s">
        <v>128</v>
      </c>
      <c r="I382" t="s">
        <v>49</v>
      </c>
      <c r="J382" t="s">
        <v>129</v>
      </c>
      <c r="K382" t="s">
        <v>1753</v>
      </c>
      <c r="L382" t="s">
        <v>30</v>
      </c>
      <c r="M382" t="s">
        <v>66</v>
      </c>
      <c r="N382" t="s">
        <v>1754</v>
      </c>
      <c r="O382" s="2">
        <v>397</v>
      </c>
      <c r="P382">
        <v>2</v>
      </c>
      <c r="Q382" s="3">
        <v>0</v>
      </c>
      <c r="R382" s="2">
        <v>194.4</v>
      </c>
      <c r="S382" s="2">
        <v>40.72</v>
      </c>
      <c r="T382" t="s">
        <v>77</v>
      </c>
      <c r="U382">
        <v>2013</v>
      </c>
    </row>
    <row r="383" spans="1:21" x14ac:dyDescent="0.3">
      <c r="A383" t="s">
        <v>1755</v>
      </c>
      <c r="B383" s="1">
        <v>41583</v>
      </c>
      <c r="C383" s="1">
        <v>41588</v>
      </c>
      <c r="D383" t="s">
        <v>22</v>
      </c>
      <c r="E383" t="s">
        <v>1756</v>
      </c>
      <c r="F383" t="s">
        <v>54</v>
      </c>
      <c r="G383" t="s">
        <v>64</v>
      </c>
      <c r="H383" t="s">
        <v>56</v>
      </c>
      <c r="I383" t="s">
        <v>49</v>
      </c>
      <c r="J383" t="s">
        <v>57</v>
      </c>
      <c r="K383" t="s">
        <v>1757</v>
      </c>
      <c r="L383" t="s">
        <v>30</v>
      </c>
      <c r="M383" t="s">
        <v>66</v>
      </c>
      <c r="N383" t="s">
        <v>1758</v>
      </c>
      <c r="O383" s="2">
        <v>534</v>
      </c>
      <c r="P383">
        <v>3</v>
      </c>
      <c r="Q383" s="3">
        <v>0.1</v>
      </c>
      <c r="R383" s="2">
        <v>-6.3E-2</v>
      </c>
      <c r="S383" s="2">
        <v>30.27</v>
      </c>
      <c r="T383" t="s">
        <v>33</v>
      </c>
      <c r="U383">
        <v>2013</v>
      </c>
    </row>
    <row r="384" spans="1:21" x14ac:dyDescent="0.3">
      <c r="A384" t="s">
        <v>1759</v>
      </c>
      <c r="B384" s="1">
        <v>41411</v>
      </c>
      <c r="C384" s="1">
        <v>41416</v>
      </c>
      <c r="D384" t="s">
        <v>45</v>
      </c>
      <c r="E384" t="s">
        <v>1760</v>
      </c>
      <c r="F384" t="s">
        <v>54</v>
      </c>
      <c r="G384" t="s">
        <v>1761</v>
      </c>
      <c r="H384" t="s">
        <v>875</v>
      </c>
      <c r="I384" t="s">
        <v>117</v>
      </c>
      <c r="J384" t="s">
        <v>117</v>
      </c>
      <c r="K384" t="s">
        <v>1762</v>
      </c>
      <c r="L384" t="s">
        <v>30</v>
      </c>
      <c r="M384" t="s">
        <v>90</v>
      </c>
      <c r="N384" t="s">
        <v>1763</v>
      </c>
      <c r="O384" s="2">
        <v>49</v>
      </c>
      <c r="P384">
        <v>1</v>
      </c>
      <c r="Q384" s="3">
        <v>0</v>
      </c>
      <c r="R384" s="2">
        <v>8.73</v>
      </c>
      <c r="S384" s="2">
        <v>5.9</v>
      </c>
      <c r="T384" t="s">
        <v>33</v>
      </c>
      <c r="U384">
        <v>2013</v>
      </c>
    </row>
    <row r="385" spans="1:21" x14ac:dyDescent="0.3">
      <c r="A385" t="s">
        <v>1764</v>
      </c>
      <c r="B385" s="1">
        <v>40638</v>
      </c>
      <c r="C385" s="1">
        <v>40640</v>
      </c>
      <c r="D385" t="s">
        <v>84</v>
      </c>
      <c r="E385" t="s">
        <v>826</v>
      </c>
      <c r="F385" t="s">
        <v>24</v>
      </c>
      <c r="G385" t="s">
        <v>158</v>
      </c>
      <c r="H385" t="s">
        <v>135</v>
      </c>
      <c r="I385" t="s">
        <v>136</v>
      </c>
      <c r="J385" t="s">
        <v>57</v>
      </c>
      <c r="K385" t="s">
        <v>1765</v>
      </c>
      <c r="L385" t="s">
        <v>30</v>
      </c>
      <c r="M385" t="s">
        <v>66</v>
      </c>
      <c r="N385" t="s">
        <v>1766</v>
      </c>
      <c r="O385" s="2">
        <v>52</v>
      </c>
      <c r="P385">
        <v>4</v>
      </c>
      <c r="Q385" s="3">
        <v>0.2</v>
      </c>
      <c r="R385" s="2">
        <v>3.9072</v>
      </c>
      <c r="S385" s="2">
        <v>8.42</v>
      </c>
      <c r="T385" t="s">
        <v>33</v>
      </c>
      <c r="U385">
        <v>2011</v>
      </c>
    </row>
    <row r="386" spans="1:21" x14ac:dyDescent="0.3">
      <c r="A386" t="s">
        <v>1767</v>
      </c>
      <c r="B386" s="1">
        <v>40676</v>
      </c>
      <c r="C386" s="1">
        <v>40680</v>
      </c>
      <c r="D386" t="s">
        <v>22</v>
      </c>
      <c r="E386" t="s">
        <v>1540</v>
      </c>
      <c r="F386" t="s">
        <v>24</v>
      </c>
      <c r="G386" t="s">
        <v>1768</v>
      </c>
      <c r="H386" t="s">
        <v>649</v>
      </c>
      <c r="I386" t="s">
        <v>27</v>
      </c>
      <c r="J386" t="s">
        <v>73</v>
      </c>
      <c r="K386" t="s">
        <v>1769</v>
      </c>
      <c r="L386" t="s">
        <v>146</v>
      </c>
      <c r="M386" t="s">
        <v>271</v>
      </c>
      <c r="N386" t="s">
        <v>1770</v>
      </c>
      <c r="O386" s="2">
        <v>3079</v>
      </c>
      <c r="P386">
        <v>12</v>
      </c>
      <c r="Q386" s="3">
        <v>0</v>
      </c>
      <c r="R386" s="2">
        <v>523.08000000000004</v>
      </c>
      <c r="S386" s="2">
        <v>474.44</v>
      </c>
      <c r="T386" t="s">
        <v>99</v>
      </c>
      <c r="U386">
        <v>2011</v>
      </c>
    </row>
    <row r="387" spans="1:21" x14ac:dyDescent="0.3">
      <c r="A387" t="s">
        <v>1771</v>
      </c>
      <c r="B387" s="1">
        <v>40973</v>
      </c>
      <c r="C387" s="1">
        <v>40977</v>
      </c>
      <c r="D387" t="s">
        <v>45</v>
      </c>
      <c r="E387" t="s">
        <v>848</v>
      </c>
      <c r="F387" t="s">
        <v>54</v>
      </c>
      <c r="G387" t="s">
        <v>64</v>
      </c>
      <c r="H387" t="s">
        <v>56</v>
      </c>
      <c r="I387" t="s">
        <v>49</v>
      </c>
      <c r="J387" t="s">
        <v>57</v>
      </c>
      <c r="K387" t="s">
        <v>1772</v>
      </c>
      <c r="L387" t="s">
        <v>59</v>
      </c>
      <c r="M387" t="s">
        <v>139</v>
      </c>
      <c r="N387" t="s">
        <v>1773</v>
      </c>
      <c r="O387" s="2">
        <v>852</v>
      </c>
      <c r="P387">
        <v>2</v>
      </c>
      <c r="Q387" s="3">
        <v>0.1</v>
      </c>
      <c r="R387" s="2">
        <v>179.958</v>
      </c>
      <c r="S387" s="2">
        <v>38.450000000000003</v>
      </c>
      <c r="T387" t="s">
        <v>33</v>
      </c>
      <c r="U387">
        <v>2012</v>
      </c>
    </row>
    <row r="388" spans="1:21" x14ac:dyDescent="0.3">
      <c r="A388" t="s">
        <v>1774</v>
      </c>
      <c r="B388" s="1">
        <v>41780</v>
      </c>
      <c r="C388" s="1">
        <v>41784</v>
      </c>
      <c r="D388" t="s">
        <v>22</v>
      </c>
      <c r="E388" t="s">
        <v>1775</v>
      </c>
      <c r="F388" t="s">
        <v>54</v>
      </c>
      <c r="G388" t="s">
        <v>1776</v>
      </c>
      <c r="H388" t="s">
        <v>164</v>
      </c>
      <c r="I388" t="s">
        <v>117</v>
      </c>
      <c r="J388" t="s">
        <v>117</v>
      </c>
      <c r="K388" t="s">
        <v>1777</v>
      </c>
      <c r="L388" t="s">
        <v>30</v>
      </c>
      <c r="M388" t="s">
        <v>90</v>
      </c>
      <c r="N388" t="s">
        <v>1778</v>
      </c>
      <c r="O388" s="2">
        <v>15</v>
      </c>
      <c r="P388">
        <v>1</v>
      </c>
      <c r="Q388" s="3">
        <v>0</v>
      </c>
      <c r="R388" s="2">
        <v>2.94</v>
      </c>
      <c r="S388" s="2">
        <v>0.14000000000000001</v>
      </c>
      <c r="T388" t="s">
        <v>33</v>
      </c>
      <c r="U388">
        <v>2014</v>
      </c>
    </row>
    <row r="389" spans="1:21" x14ac:dyDescent="0.3">
      <c r="A389" t="s">
        <v>1779</v>
      </c>
      <c r="B389" s="1">
        <v>41047</v>
      </c>
      <c r="C389" s="1">
        <v>41052</v>
      </c>
      <c r="D389" t="s">
        <v>22</v>
      </c>
      <c r="E389" t="s">
        <v>1336</v>
      </c>
      <c r="F389" t="s">
        <v>54</v>
      </c>
      <c r="G389" t="s">
        <v>1233</v>
      </c>
      <c r="H389" t="s">
        <v>1234</v>
      </c>
      <c r="I389" t="s">
        <v>117</v>
      </c>
      <c r="J389" t="s">
        <v>117</v>
      </c>
      <c r="K389" t="s">
        <v>1780</v>
      </c>
      <c r="L389" t="s">
        <v>30</v>
      </c>
      <c r="M389" t="s">
        <v>97</v>
      </c>
      <c r="N389" t="s">
        <v>1751</v>
      </c>
      <c r="O389" s="2">
        <v>17</v>
      </c>
      <c r="P389">
        <v>2</v>
      </c>
      <c r="Q389" s="3">
        <v>0</v>
      </c>
      <c r="R389" s="2">
        <v>7.08</v>
      </c>
      <c r="S389" s="2">
        <v>1.39</v>
      </c>
      <c r="T389" t="s">
        <v>33</v>
      </c>
      <c r="U389">
        <v>2012</v>
      </c>
    </row>
    <row r="390" spans="1:21" x14ac:dyDescent="0.3">
      <c r="A390" t="s">
        <v>1781</v>
      </c>
      <c r="B390" s="1">
        <v>41773</v>
      </c>
      <c r="C390" s="1">
        <v>41779</v>
      </c>
      <c r="D390" t="s">
        <v>22</v>
      </c>
      <c r="E390" t="s">
        <v>1782</v>
      </c>
      <c r="F390" t="s">
        <v>24</v>
      </c>
      <c r="G390" t="s">
        <v>1783</v>
      </c>
      <c r="H390" t="s">
        <v>1034</v>
      </c>
      <c r="I390" t="s">
        <v>88</v>
      </c>
      <c r="J390" t="s">
        <v>88</v>
      </c>
      <c r="K390" t="s">
        <v>1784</v>
      </c>
      <c r="L390" t="s">
        <v>59</v>
      </c>
      <c r="M390" t="s">
        <v>60</v>
      </c>
      <c r="N390" t="s">
        <v>1785</v>
      </c>
      <c r="O390" s="2">
        <v>189</v>
      </c>
      <c r="P390">
        <v>4</v>
      </c>
      <c r="Q390" s="3">
        <v>0</v>
      </c>
      <c r="R390" s="2">
        <v>83.16</v>
      </c>
      <c r="S390" s="2">
        <v>11.12</v>
      </c>
      <c r="T390" t="s">
        <v>33</v>
      </c>
      <c r="U390">
        <v>2014</v>
      </c>
    </row>
    <row r="391" spans="1:21" x14ac:dyDescent="0.3">
      <c r="A391" t="s">
        <v>1786</v>
      </c>
      <c r="B391" s="1">
        <v>41430</v>
      </c>
      <c r="C391" s="1">
        <v>41437</v>
      </c>
      <c r="D391" t="s">
        <v>22</v>
      </c>
      <c r="E391" t="s">
        <v>1787</v>
      </c>
      <c r="F391" t="s">
        <v>36</v>
      </c>
      <c r="G391" t="s">
        <v>1224</v>
      </c>
      <c r="H391" t="s">
        <v>402</v>
      </c>
      <c r="I391" t="s">
        <v>39</v>
      </c>
      <c r="J391" t="s">
        <v>236</v>
      </c>
      <c r="K391" t="s">
        <v>1788</v>
      </c>
      <c r="L391" t="s">
        <v>30</v>
      </c>
      <c r="M391" t="s">
        <v>370</v>
      </c>
      <c r="N391" t="s">
        <v>1789</v>
      </c>
      <c r="O391" s="2">
        <v>25</v>
      </c>
      <c r="P391">
        <v>1</v>
      </c>
      <c r="Q391" s="3">
        <v>0</v>
      </c>
      <c r="R391" s="2">
        <v>9.4</v>
      </c>
      <c r="S391" s="2">
        <v>0.92</v>
      </c>
      <c r="T391" t="s">
        <v>33</v>
      </c>
      <c r="U391">
        <v>2013</v>
      </c>
    </row>
    <row r="392" spans="1:21" x14ac:dyDescent="0.3">
      <c r="A392" t="s">
        <v>1790</v>
      </c>
      <c r="B392" s="1">
        <v>41411</v>
      </c>
      <c r="C392" s="1">
        <v>41415</v>
      </c>
      <c r="D392" t="s">
        <v>22</v>
      </c>
      <c r="E392" t="s">
        <v>1791</v>
      </c>
      <c r="F392" t="s">
        <v>54</v>
      </c>
      <c r="G392" t="s">
        <v>1792</v>
      </c>
      <c r="H392" t="s">
        <v>87</v>
      </c>
      <c r="I392" t="s">
        <v>88</v>
      </c>
      <c r="J392" t="s">
        <v>88</v>
      </c>
      <c r="K392" t="s">
        <v>1793</v>
      </c>
      <c r="L392" t="s">
        <v>30</v>
      </c>
      <c r="M392" t="s">
        <v>66</v>
      </c>
      <c r="N392" t="s">
        <v>1794</v>
      </c>
      <c r="O392" s="2">
        <v>77</v>
      </c>
      <c r="P392">
        <v>4</v>
      </c>
      <c r="Q392" s="3">
        <v>0.6</v>
      </c>
      <c r="R392" s="2">
        <v>-64.007999999999996</v>
      </c>
      <c r="S392" s="2">
        <v>5.22</v>
      </c>
      <c r="T392" t="s">
        <v>33</v>
      </c>
      <c r="U392">
        <v>2013</v>
      </c>
    </row>
    <row r="393" spans="1:21" x14ac:dyDescent="0.3">
      <c r="A393" t="s">
        <v>1795</v>
      </c>
      <c r="B393" s="1">
        <v>40791</v>
      </c>
      <c r="C393" s="1">
        <v>40796</v>
      </c>
      <c r="D393" t="s">
        <v>22</v>
      </c>
      <c r="E393" t="s">
        <v>616</v>
      </c>
      <c r="F393" t="s">
        <v>54</v>
      </c>
      <c r="G393" t="s">
        <v>25</v>
      </c>
      <c r="H393" t="s">
        <v>26</v>
      </c>
      <c r="I393" t="s">
        <v>27</v>
      </c>
      <c r="J393" t="s">
        <v>28</v>
      </c>
      <c r="K393" t="s">
        <v>1796</v>
      </c>
      <c r="L393" t="s">
        <v>146</v>
      </c>
      <c r="M393" t="s">
        <v>195</v>
      </c>
      <c r="N393" t="s">
        <v>1797</v>
      </c>
      <c r="O393" s="2">
        <v>876</v>
      </c>
      <c r="P393">
        <v>6</v>
      </c>
      <c r="Q393" s="3">
        <v>0.17</v>
      </c>
      <c r="R393" s="2">
        <v>-137.34899999999999</v>
      </c>
      <c r="S393" s="2">
        <v>8.6</v>
      </c>
      <c r="T393" t="s">
        <v>33</v>
      </c>
      <c r="U393">
        <v>2011</v>
      </c>
    </row>
    <row r="394" spans="1:21" x14ac:dyDescent="0.3">
      <c r="A394" t="s">
        <v>1798</v>
      </c>
      <c r="B394" s="1">
        <v>41491</v>
      </c>
      <c r="C394" s="1">
        <v>41493</v>
      </c>
      <c r="D394" t="s">
        <v>45</v>
      </c>
      <c r="E394" t="s">
        <v>1799</v>
      </c>
      <c r="F394" t="s">
        <v>24</v>
      </c>
      <c r="G394" t="s">
        <v>134</v>
      </c>
      <c r="H394" t="s">
        <v>135</v>
      </c>
      <c r="I394" t="s">
        <v>136</v>
      </c>
      <c r="J394" t="s">
        <v>137</v>
      </c>
      <c r="K394" t="s">
        <v>1800</v>
      </c>
      <c r="L394" t="s">
        <v>146</v>
      </c>
      <c r="M394" t="s">
        <v>147</v>
      </c>
      <c r="N394" t="s">
        <v>1801</v>
      </c>
      <c r="O394" s="2">
        <v>302</v>
      </c>
      <c r="P394">
        <v>2</v>
      </c>
      <c r="Q394" s="3">
        <v>0.2</v>
      </c>
      <c r="R394" s="2">
        <v>30.238399999999999</v>
      </c>
      <c r="S394" s="2">
        <v>0.06</v>
      </c>
      <c r="T394" t="s">
        <v>33</v>
      </c>
      <c r="U394">
        <v>2013</v>
      </c>
    </row>
    <row r="395" spans="1:21" x14ac:dyDescent="0.3">
      <c r="A395" t="s">
        <v>1802</v>
      </c>
      <c r="B395" s="1">
        <v>41044</v>
      </c>
      <c r="C395" s="1">
        <v>41049</v>
      </c>
      <c r="D395" t="s">
        <v>45</v>
      </c>
      <c r="E395" t="s">
        <v>1803</v>
      </c>
      <c r="F395" t="s">
        <v>24</v>
      </c>
      <c r="G395" t="s">
        <v>1804</v>
      </c>
      <c r="H395" t="s">
        <v>135</v>
      </c>
      <c r="I395" t="s">
        <v>136</v>
      </c>
      <c r="J395" t="s">
        <v>40</v>
      </c>
      <c r="K395" t="s">
        <v>1805</v>
      </c>
      <c r="L395" t="s">
        <v>30</v>
      </c>
      <c r="M395" t="s">
        <v>410</v>
      </c>
      <c r="N395" t="s">
        <v>1806</v>
      </c>
      <c r="O395" s="2">
        <v>18</v>
      </c>
      <c r="P395">
        <v>3</v>
      </c>
      <c r="Q395" s="3">
        <v>0</v>
      </c>
      <c r="R395" s="2">
        <v>8.7905999999999995</v>
      </c>
      <c r="S395" s="2">
        <v>2.4300000000000002</v>
      </c>
      <c r="T395" t="s">
        <v>99</v>
      </c>
      <c r="U395">
        <v>2012</v>
      </c>
    </row>
    <row r="396" spans="1:21" x14ac:dyDescent="0.3">
      <c r="A396" t="s">
        <v>1807</v>
      </c>
      <c r="B396" s="1">
        <v>40684</v>
      </c>
      <c r="C396" s="1">
        <v>40686</v>
      </c>
      <c r="D396" t="s">
        <v>45</v>
      </c>
      <c r="E396" t="s">
        <v>1808</v>
      </c>
      <c r="F396" t="s">
        <v>54</v>
      </c>
      <c r="G396" t="s">
        <v>569</v>
      </c>
      <c r="H396" t="s">
        <v>135</v>
      </c>
      <c r="I396" t="s">
        <v>136</v>
      </c>
      <c r="J396" t="s">
        <v>57</v>
      </c>
      <c r="K396" t="s">
        <v>1809</v>
      </c>
      <c r="L396" t="s">
        <v>30</v>
      </c>
      <c r="M396" t="s">
        <v>31</v>
      </c>
      <c r="N396" t="s">
        <v>1810</v>
      </c>
      <c r="O396" s="2">
        <v>18</v>
      </c>
      <c r="P396">
        <v>3</v>
      </c>
      <c r="Q396" s="3">
        <v>0.8</v>
      </c>
      <c r="R396" s="2">
        <v>-31.007999999999999</v>
      </c>
      <c r="S396" s="2">
        <v>4.5199999999999996</v>
      </c>
      <c r="T396" t="s">
        <v>68</v>
      </c>
      <c r="U396">
        <v>2011</v>
      </c>
    </row>
    <row r="397" spans="1:21" x14ac:dyDescent="0.3">
      <c r="A397" t="s">
        <v>1811</v>
      </c>
      <c r="B397" s="1">
        <v>41522</v>
      </c>
      <c r="C397" s="1">
        <v>41525</v>
      </c>
      <c r="D397" t="s">
        <v>45</v>
      </c>
      <c r="E397" t="s">
        <v>1812</v>
      </c>
      <c r="F397" t="s">
        <v>54</v>
      </c>
      <c r="G397" t="s">
        <v>688</v>
      </c>
      <c r="H397" t="s">
        <v>135</v>
      </c>
      <c r="I397" t="s">
        <v>136</v>
      </c>
      <c r="J397" t="s">
        <v>40</v>
      </c>
      <c r="K397" t="s">
        <v>1813</v>
      </c>
      <c r="L397" t="s">
        <v>30</v>
      </c>
      <c r="M397" t="s">
        <v>90</v>
      </c>
      <c r="N397" t="s">
        <v>1814</v>
      </c>
      <c r="O397" s="2">
        <v>32</v>
      </c>
      <c r="P397">
        <v>2</v>
      </c>
      <c r="Q397" s="3">
        <v>0.2</v>
      </c>
      <c r="R397" s="2">
        <v>8.3328000000000007</v>
      </c>
      <c r="S397" s="2">
        <v>6.98</v>
      </c>
      <c r="T397" t="s">
        <v>68</v>
      </c>
      <c r="U397">
        <v>2013</v>
      </c>
    </row>
    <row r="398" spans="1:21" x14ac:dyDescent="0.3">
      <c r="A398" t="s">
        <v>1815</v>
      </c>
      <c r="B398" s="1">
        <v>41978</v>
      </c>
      <c r="C398" s="1">
        <v>41982</v>
      </c>
      <c r="D398" t="s">
        <v>22</v>
      </c>
      <c r="E398" t="s">
        <v>1816</v>
      </c>
      <c r="F398" t="s">
        <v>54</v>
      </c>
      <c r="G398" t="s">
        <v>1817</v>
      </c>
      <c r="H398" t="s">
        <v>1818</v>
      </c>
      <c r="I398" t="s">
        <v>117</v>
      </c>
      <c r="J398" t="s">
        <v>117</v>
      </c>
      <c r="K398" t="s">
        <v>1819</v>
      </c>
      <c r="L398" t="s">
        <v>30</v>
      </c>
      <c r="M398" t="s">
        <v>66</v>
      </c>
      <c r="N398" t="s">
        <v>1820</v>
      </c>
      <c r="O398" s="2">
        <v>19</v>
      </c>
      <c r="P398">
        <v>1</v>
      </c>
      <c r="Q398" s="3">
        <v>0</v>
      </c>
      <c r="R398" s="2">
        <v>8.61</v>
      </c>
      <c r="S398" s="2">
        <v>2.48</v>
      </c>
      <c r="T398" t="s">
        <v>99</v>
      </c>
      <c r="U398">
        <v>2014</v>
      </c>
    </row>
    <row r="399" spans="1:21" x14ac:dyDescent="0.3">
      <c r="A399" t="s">
        <v>1821</v>
      </c>
      <c r="B399" s="1">
        <v>41419</v>
      </c>
      <c r="C399" s="1">
        <v>41423</v>
      </c>
      <c r="D399" t="s">
        <v>22</v>
      </c>
      <c r="E399" t="s">
        <v>423</v>
      </c>
      <c r="F399" t="s">
        <v>54</v>
      </c>
      <c r="G399" t="s">
        <v>1822</v>
      </c>
      <c r="H399" t="s">
        <v>26</v>
      </c>
      <c r="I399" t="s">
        <v>27</v>
      </c>
      <c r="J399" t="s">
        <v>28</v>
      </c>
      <c r="K399" t="s">
        <v>1823</v>
      </c>
      <c r="L399" t="s">
        <v>30</v>
      </c>
      <c r="M399" t="s">
        <v>75</v>
      </c>
      <c r="N399" t="s">
        <v>1824</v>
      </c>
      <c r="O399" s="2">
        <v>15</v>
      </c>
      <c r="P399">
        <v>3</v>
      </c>
      <c r="Q399" s="3">
        <v>0.47</v>
      </c>
      <c r="R399" s="2">
        <v>0.82079999999999997</v>
      </c>
      <c r="S399" s="2">
        <v>1.21</v>
      </c>
      <c r="T399" t="s">
        <v>33</v>
      </c>
      <c r="U399">
        <v>2013</v>
      </c>
    </row>
    <row r="400" spans="1:21" x14ac:dyDescent="0.3">
      <c r="A400" t="s">
        <v>1825</v>
      </c>
      <c r="B400" s="1">
        <v>40913</v>
      </c>
      <c r="C400" s="1">
        <v>40919</v>
      </c>
      <c r="D400" t="s">
        <v>22</v>
      </c>
      <c r="E400" t="s">
        <v>1826</v>
      </c>
      <c r="F400" t="s">
        <v>54</v>
      </c>
      <c r="G400" t="s">
        <v>1504</v>
      </c>
      <c r="H400" t="s">
        <v>48</v>
      </c>
      <c r="I400" t="s">
        <v>49</v>
      </c>
      <c r="J400" t="s">
        <v>40</v>
      </c>
      <c r="K400" t="s">
        <v>1827</v>
      </c>
      <c r="L400" t="s">
        <v>146</v>
      </c>
      <c r="M400" t="s">
        <v>147</v>
      </c>
      <c r="N400" t="s">
        <v>1828</v>
      </c>
      <c r="O400" s="2">
        <v>200</v>
      </c>
      <c r="P400">
        <v>2</v>
      </c>
      <c r="Q400" s="3">
        <v>0.4</v>
      </c>
      <c r="R400" s="2">
        <v>-83.412000000000006</v>
      </c>
      <c r="S400" s="2">
        <v>11.02</v>
      </c>
      <c r="T400" t="s">
        <v>33</v>
      </c>
      <c r="U400">
        <v>2012</v>
      </c>
    </row>
    <row r="401" spans="1:21" x14ac:dyDescent="0.3">
      <c r="A401" t="s">
        <v>1829</v>
      </c>
      <c r="B401" s="1">
        <v>41675</v>
      </c>
      <c r="C401" s="1">
        <v>41678</v>
      </c>
      <c r="D401" t="s">
        <v>45</v>
      </c>
      <c r="E401" t="s">
        <v>326</v>
      </c>
      <c r="F401" t="s">
        <v>24</v>
      </c>
      <c r="G401" t="s">
        <v>1214</v>
      </c>
      <c r="H401" t="s">
        <v>152</v>
      </c>
      <c r="I401" t="s">
        <v>27</v>
      </c>
      <c r="J401" t="s">
        <v>153</v>
      </c>
      <c r="K401" t="s">
        <v>1830</v>
      </c>
      <c r="L401" t="s">
        <v>146</v>
      </c>
      <c r="M401" t="s">
        <v>347</v>
      </c>
      <c r="N401" t="s">
        <v>1831</v>
      </c>
      <c r="O401" s="2">
        <v>1716</v>
      </c>
      <c r="P401">
        <v>7</v>
      </c>
      <c r="Q401" s="3">
        <v>0</v>
      </c>
      <c r="R401" s="2">
        <v>840.63</v>
      </c>
      <c r="S401" s="2">
        <v>13.53</v>
      </c>
      <c r="T401" t="s">
        <v>33</v>
      </c>
      <c r="U401">
        <v>2014</v>
      </c>
    </row>
    <row r="402" spans="1:21" x14ac:dyDescent="0.3">
      <c r="A402" t="s">
        <v>1832</v>
      </c>
      <c r="B402" s="1">
        <v>41054</v>
      </c>
      <c r="C402" s="1">
        <v>41057</v>
      </c>
      <c r="D402" t="s">
        <v>84</v>
      </c>
      <c r="E402" t="s">
        <v>1140</v>
      </c>
      <c r="F402" t="s">
        <v>24</v>
      </c>
      <c r="G402" t="s">
        <v>569</v>
      </c>
      <c r="H402" t="s">
        <v>135</v>
      </c>
      <c r="I402" t="s">
        <v>136</v>
      </c>
      <c r="J402" t="s">
        <v>57</v>
      </c>
      <c r="K402" t="s">
        <v>1833</v>
      </c>
      <c r="L402" t="s">
        <v>30</v>
      </c>
      <c r="M402" t="s">
        <v>105</v>
      </c>
      <c r="N402" t="s">
        <v>1834</v>
      </c>
      <c r="O402" s="2">
        <v>32</v>
      </c>
      <c r="P402">
        <v>7</v>
      </c>
      <c r="Q402" s="3">
        <v>0.2</v>
      </c>
      <c r="R402" s="2">
        <v>11.7334</v>
      </c>
      <c r="S402" s="2">
        <v>9.69</v>
      </c>
      <c r="T402" t="s">
        <v>99</v>
      </c>
      <c r="U402">
        <v>2012</v>
      </c>
    </row>
    <row r="403" spans="1:21" x14ac:dyDescent="0.3">
      <c r="A403" t="s">
        <v>1835</v>
      </c>
      <c r="B403" s="1">
        <v>41410</v>
      </c>
      <c r="C403" s="1">
        <v>41414</v>
      </c>
      <c r="D403" t="s">
        <v>22</v>
      </c>
      <c r="E403" t="s">
        <v>150</v>
      </c>
      <c r="F403" t="s">
        <v>54</v>
      </c>
      <c r="G403" t="s">
        <v>1836</v>
      </c>
      <c r="H403" t="s">
        <v>1837</v>
      </c>
      <c r="I403" t="s">
        <v>39</v>
      </c>
      <c r="J403" t="s">
        <v>40</v>
      </c>
      <c r="K403" t="s">
        <v>1838</v>
      </c>
      <c r="L403" t="s">
        <v>30</v>
      </c>
      <c r="M403" t="s">
        <v>105</v>
      </c>
      <c r="N403" t="s">
        <v>1839</v>
      </c>
      <c r="O403" s="2">
        <v>85</v>
      </c>
      <c r="P403">
        <v>7</v>
      </c>
      <c r="Q403" s="3">
        <v>0</v>
      </c>
      <c r="R403" s="2">
        <v>40.46</v>
      </c>
      <c r="S403" s="2">
        <v>8.66</v>
      </c>
      <c r="T403" t="s">
        <v>99</v>
      </c>
      <c r="U403">
        <v>2013</v>
      </c>
    </row>
    <row r="404" spans="1:21" x14ac:dyDescent="0.3">
      <c r="A404" t="s">
        <v>1840</v>
      </c>
      <c r="B404" s="1">
        <v>41059</v>
      </c>
      <c r="C404" s="1">
        <v>41060</v>
      </c>
      <c r="D404" t="s">
        <v>84</v>
      </c>
      <c r="E404" t="s">
        <v>261</v>
      </c>
      <c r="F404" t="s">
        <v>54</v>
      </c>
      <c r="G404" t="s">
        <v>640</v>
      </c>
      <c r="H404" t="s">
        <v>72</v>
      </c>
      <c r="I404" t="s">
        <v>27</v>
      </c>
      <c r="J404" t="s">
        <v>73</v>
      </c>
      <c r="K404" t="s">
        <v>1841</v>
      </c>
      <c r="L404" t="s">
        <v>146</v>
      </c>
      <c r="M404" t="s">
        <v>271</v>
      </c>
      <c r="N404" t="s">
        <v>1842</v>
      </c>
      <c r="O404" s="2">
        <v>31</v>
      </c>
      <c r="P404">
        <v>1</v>
      </c>
      <c r="Q404" s="3">
        <v>0</v>
      </c>
      <c r="R404" s="2">
        <v>11.88</v>
      </c>
      <c r="S404" s="2">
        <v>2.39</v>
      </c>
      <c r="T404" t="s">
        <v>68</v>
      </c>
      <c r="U404">
        <v>2012</v>
      </c>
    </row>
    <row r="405" spans="1:21" x14ac:dyDescent="0.3">
      <c r="A405" t="s">
        <v>1843</v>
      </c>
      <c r="B405" s="1">
        <v>41409</v>
      </c>
      <c r="C405" s="1">
        <v>41414</v>
      </c>
      <c r="D405" t="s">
        <v>22</v>
      </c>
      <c r="E405" t="s">
        <v>661</v>
      </c>
      <c r="F405" t="s">
        <v>24</v>
      </c>
      <c r="G405" t="s">
        <v>1176</v>
      </c>
      <c r="H405" t="s">
        <v>1177</v>
      </c>
      <c r="I405" t="s">
        <v>27</v>
      </c>
      <c r="J405" t="s">
        <v>28</v>
      </c>
      <c r="K405" t="s">
        <v>1844</v>
      </c>
      <c r="L405" t="s">
        <v>59</v>
      </c>
      <c r="M405" t="s">
        <v>60</v>
      </c>
      <c r="N405" t="s">
        <v>1845</v>
      </c>
      <c r="O405" s="2">
        <v>49</v>
      </c>
      <c r="P405">
        <v>3</v>
      </c>
      <c r="Q405" s="3">
        <v>0.27</v>
      </c>
      <c r="R405" s="2">
        <v>-6.6905999999999999</v>
      </c>
      <c r="S405" s="2">
        <v>3.65</v>
      </c>
      <c r="T405" t="s">
        <v>33</v>
      </c>
      <c r="U405">
        <v>2013</v>
      </c>
    </row>
    <row r="406" spans="1:21" x14ac:dyDescent="0.3">
      <c r="A406" t="s">
        <v>1846</v>
      </c>
      <c r="B406" s="1">
        <v>41045</v>
      </c>
      <c r="C406" s="1">
        <v>41050</v>
      </c>
      <c r="D406" t="s">
        <v>45</v>
      </c>
      <c r="E406" t="s">
        <v>1847</v>
      </c>
      <c r="F406" t="s">
        <v>24</v>
      </c>
      <c r="G406" t="s">
        <v>389</v>
      </c>
      <c r="H406" t="s">
        <v>390</v>
      </c>
      <c r="I406" t="s">
        <v>39</v>
      </c>
      <c r="J406" t="s">
        <v>57</v>
      </c>
      <c r="K406" t="s">
        <v>1848</v>
      </c>
      <c r="L406" t="s">
        <v>30</v>
      </c>
      <c r="M406" t="s">
        <v>105</v>
      </c>
      <c r="N406" t="s">
        <v>1849</v>
      </c>
      <c r="O406" s="2">
        <v>60</v>
      </c>
      <c r="P406">
        <v>2</v>
      </c>
      <c r="Q406" s="3">
        <v>0</v>
      </c>
      <c r="R406" s="2">
        <v>20.36</v>
      </c>
      <c r="S406" s="2">
        <v>8.52</v>
      </c>
      <c r="T406" t="s">
        <v>33</v>
      </c>
      <c r="U406">
        <v>2012</v>
      </c>
    </row>
    <row r="407" spans="1:21" x14ac:dyDescent="0.3">
      <c r="A407" t="s">
        <v>1850</v>
      </c>
      <c r="B407" s="1">
        <v>41774</v>
      </c>
      <c r="C407" s="1">
        <v>41778</v>
      </c>
      <c r="D407" t="s">
        <v>45</v>
      </c>
      <c r="E407" t="s">
        <v>1851</v>
      </c>
      <c r="F407" t="s">
        <v>54</v>
      </c>
      <c r="G407" t="s">
        <v>810</v>
      </c>
      <c r="H407" t="s">
        <v>811</v>
      </c>
      <c r="I407" t="s">
        <v>88</v>
      </c>
      <c r="J407" t="s">
        <v>88</v>
      </c>
      <c r="K407" t="s">
        <v>1852</v>
      </c>
      <c r="L407" t="s">
        <v>59</v>
      </c>
      <c r="M407" t="s">
        <v>139</v>
      </c>
      <c r="N407" t="s">
        <v>1853</v>
      </c>
      <c r="O407" s="2">
        <v>456</v>
      </c>
      <c r="P407">
        <v>1</v>
      </c>
      <c r="Q407" s="3">
        <v>0</v>
      </c>
      <c r="R407" s="2">
        <v>59.19</v>
      </c>
      <c r="S407" s="2">
        <v>55.22</v>
      </c>
      <c r="T407" t="s">
        <v>99</v>
      </c>
      <c r="U407">
        <v>2014</v>
      </c>
    </row>
    <row r="408" spans="1:21" x14ac:dyDescent="0.3">
      <c r="A408" t="s">
        <v>1854</v>
      </c>
      <c r="B408" s="1">
        <v>41409</v>
      </c>
      <c r="C408" s="1">
        <v>41414</v>
      </c>
      <c r="D408" t="s">
        <v>22</v>
      </c>
      <c r="E408" t="s">
        <v>639</v>
      </c>
      <c r="F408" t="s">
        <v>54</v>
      </c>
      <c r="G408" t="s">
        <v>440</v>
      </c>
      <c r="H408" t="s">
        <v>56</v>
      </c>
      <c r="I408" t="s">
        <v>49</v>
      </c>
      <c r="J408" t="s">
        <v>57</v>
      </c>
      <c r="K408" t="s">
        <v>1855</v>
      </c>
      <c r="L408" t="s">
        <v>30</v>
      </c>
      <c r="M408" t="s">
        <v>42</v>
      </c>
      <c r="N408" t="s">
        <v>1856</v>
      </c>
      <c r="O408" s="2">
        <v>256</v>
      </c>
      <c r="P408">
        <v>4</v>
      </c>
      <c r="Q408" s="3">
        <v>0.1</v>
      </c>
      <c r="R408" s="2">
        <v>31.271999999999998</v>
      </c>
      <c r="S408" s="2">
        <v>16.899999999999999</v>
      </c>
      <c r="T408" t="s">
        <v>33</v>
      </c>
      <c r="U408">
        <v>2013</v>
      </c>
    </row>
    <row r="409" spans="1:21" x14ac:dyDescent="0.3">
      <c r="A409" t="s">
        <v>1857</v>
      </c>
      <c r="B409" s="1">
        <v>41775</v>
      </c>
      <c r="C409" s="1">
        <v>41782</v>
      </c>
      <c r="D409" t="s">
        <v>22</v>
      </c>
      <c r="E409" t="s">
        <v>1858</v>
      </c>
      <c r="F409" t="s">
        <v>54</v>
      </c>
      <c r="G409" t="s">
        <v>1859</v>
      </c>
      <c r="H409" t="s">
        <v>1860</v>
      </c>
      <c r="I409" t="s">
        <v>117</v>
      </c>
      <c r="J409" t="s">
        <v>117</v>
      </c>
      <c r="K409" t="s">
        <v>1861</v>
      </c>
      <c r="L409" t="s">
        <v>30</v>
      </c>
      <c r="M409" t="s">
        <v>370</v>
      </c>
      <c r="N409" t="s">
        <v>1862</v>
      </c>
      <c r="O409" s="2">
        <v>84</v>
      </c>
      <c r="P409">
        <v>2</v>
      </c>
      <c r="Q409" s="3">
        <v>0</v>
      </c>
      <c r="R409" s="2">
        <v>28.62</v>
      </c>
      <c r="S409" s="2">
        <v>3.57</v>
      </c>
      <c r="T409" t="s">
        <v>33</v>
      </c>
      <c r="U409">
        <v>2014</v>
      </c>
    </row>
    <row r="410" spans="1:21" x14ac:dyDescent="0.3">
      <c r="A410" t="s">
        <v>1863</v>
      </c>
      <c r="B410" s="1">
        <v>41430</v>
      </c>
      <c r="C410" s="1">
        <v>41430</v>
      </c>
      <c r="D410" t="s">
        <v>232</v>
      </c>
      <c r="E410" t="s">
        <v>1864</v>
      </c>
      <c r="F410" t="s">
        <v>36</v>
      </c>
      <c r="G410" t="s">
        <v>389</v>
      </c>
      <c r="H410" t="s">
        <v>390</v>
      </c>
      <c r="I410" t="s">
        <v>39</v>
      </c>
      <c r="J410" t="s">
        <v>57</v>
      </c>
      <c r="K410" t="s">
        <v>932</v>
      </c>
      <c r="L410" t="s">
        <v>30</v>
      </c>
      <c r="M410" t="s">
        <v>90</v>
      </c>
      <c r="N410" t="s">
        <v>933</v>
      </c>
      <c r="O410" s="2">
        <v>39</v>
      </c>
      <c r="P410">
        <v>2</v>
      </c>
      <c r="Q410" s="3">
        <v>0</v>
      </c>
      <c r="R410" s="2">
        <v>11.2</v>
      </c>
      <c r="S410" s="2">
        <v>6.9</v>
      </c>
      <c r="T410" t="s">
        <v>68</v>
      </c>
      <c r="U410">
        <v>2013</v>
      </c>
    </row>
    <row r="411" spans="1:21" x14ac:dyDescent="0.3">
      <c r="A411" t="s">
        <v>1865</v>
      </c>
      <c r="B411" s="1">
        <v>41410</v>
      </c>
      <c r="C411" s="1">
        <v>41414</v>
      </c>
      <c r="D411" t="s">
        <v>45</v>
      </c>
      <c r="E411" t="s">
        <v>1866</v>
      </c>
      <c r="F411" t="s">
        <v>54</v>
      </c>
      <c r="G411" t="s">
        <v>1141</v>
      </c>
      <c r="H411" t="s">
        <v>205</v>
      </c>
      <c r="I411" t="s">
        <v>49</v>
      </c>
      <c r="J411" t="s">
        <v>57</v>
      </c>
      <c r="K411" t="s">
        <v>1867</v>
      </c>
      <c r="L411" t="s">
        <v>146</v>
      </c>
      <c r="M411" t="s">
        <v>147</v>
      </c>
      <c r="N411" t="s">
        <v>1868</v>
      </c>
      <c r="O411" s="2">
        <v>2606</v>
      </c>
      <c r="P411">
        <v>4</v>
      </c>
      <c r="Q411" s="3">
        <v>0</v>
      </c>
      <c r="R411" s="2">
        <v>1042.32</v>
      </c>
      <c r="S411" s="2">
        <v>326.05</v>
      </c>
      <c r="T411" t="s">
        <v>99</v>
      </c>
      <c r="U411">
        <v>2013</v>
      </c>
    </row>
    <row r="412" spans="1:21" x14ac:dyDescent="0.3">
      <c r="A412" t="s">
        <v>1869</v>
      </c>
      <c r="B412" s="1">
        <v>41413</v>
      </c>
      <c r="C412" s="1">
        <v>41419</v>
      </c>
      <c r="D412" t="s">
        <v>22</v>
      </c>
      <c r="E412" t="s">
        <v>1870</v>
      </c>
      <c r="F412" t="s">
        <v>54</v>
      </c>
      <c r="G412" t="s">
        <v>134</v>
      </c>
      <c r="H412" t="s">
        <v>135</v>
      </c>
      <c r="I412" t="s">
        <v>136</v>
      </c>
      <c r="J412" t="s">
        <v>137</v>
      </c>
      <c r="K412" t="s">
        <v>1871</v>
      </c>
      <c r="L412" t="s">
        <v>30</v>
      </c>
      <c r="M412" t="s">
        <v>105</v>
      </c>
      <c r="N412" t="s">
        <v>1872</v>
      </c>
      <c r="O412" s="2">
        <v>18</v>
      </c>
      <c r="P412">
        <v>3</v>
      </c>
      <c r="Q412" s="3">
        <v>0</v>
      </c>
      <c r="R412" s="2">
        <v>8.7905999999999995</v>
      </c>
      <c r="S412" s="2">
        <v>2.2200000000000002</v>
      </c>
      <c r="T412" t="s">
        <v>33</v>
      </c>
      <c r="U412">
        <v>2013</v>
      </c>
    </row>
    <row r="413" spans="1:21" x14ac:dyDescent="0.3">
      <c r="A413" t="s">
        <v>1873</v>
      </c>
      <c r="B413" s="1">
        <v>41790</v>
      </c>
      <c r="C413" s="1">
        <v>41792</v>
      </c>
      <c r="D413" t="s">
        <v>84</v>
      </c>
      <c r="E413" t="s">
        <v>1874</v>
      </c>
      <c r="F413" t="s">
        <v>36</v>
      </c>
      <c r="G413" t="s">
        <v>384</v>
      </c>
      <c r="H413" t="s">
        <v>26</v>
      </c>
      <c r="I413" t="s">
        <v>27</v>
      </c>
      <c r="J413" t="s">
        <v>28</v>
      </c>
      <c r="K413" t="s">
        <v>1875</v>
      </c>
      <c r="L413" t="s">
        <v>30</v>
      </c>
      <c r="M413" t="s">
        <v>97</v>
      </c>
      <c r="N413" t="s">
        <v>629</v>
      </c>
      <c r="O413" s="2">
        <v>27</v>
      </c>
      <c r="P413">
        <v>4</v>
      </c>
      <c r="Q413" s="3">
        <v>0.47</v>
      </c>
      <c r="R413" s="2">
        <v>-7.8048000000000002</v>
      </c>
      <c r="S413" s="2">
        <v>5.28</v>
      </c>
      <c r="T413" t="s">
        <v>99</v>
      </c>
      <c r="U413">
        <v>2014</v>
      </c>
    </row>
    <row r="414" spans="1:21" x14ac:dyDescent="0.3">
      <c r="A414" t="s">
        <v>1876</v>
      </c>
      <c r="B414" s="1">
        <v>40681</v>
      </c>
      <c r="C414" s="1">
        <v>40688</v>
      </c>
      <c r="D414" t="s">
        <v>22</v>
      </c>
      <c r="E414" t="s">
        <v>888</v>
      </c>
      <c r="F414" t="s">
        <v>24</v>
      </c>
      <c r="G414" t="s">
        <v>1877</v>
      </c>
      <c r="H414" t="s">
        <v>637</v>
      </c>
      <c r="I414" t="s">
        <v>88</v>
      </c>
      <c r="J414" t="s">
        <v>88</v>
      </c>
      <c r="K414" t="s">
        <v>1878</v>
      </c>
      <c r="L414" t="s">
        <v>59</v>
      </c>
      <c r="M414" t="s">
        <v>139</v>
      </c>
      <c r="N414" t="s">
        <v>1879</v>
      </c>
      <c r="O414" s="2">
        <v>150</v>
      </c>
      <c r="P414">
        <v>1</v>
      </c>
      <c r="Q414" s="3">
        <v>0</v>
      </c>
      <c r="R414" s="2">
        <v>47.85</v>
      </c>
      <c r="S414" s="2">
        <v>7.57</v>
      </c>
      <c r="T414" t="s">
        <v>33</v>
      </c>
      <c r="U414">
        <v>2011</v>
      </c>
    </row>
    <row r="415" spans="1:21" x14ac:dyDescent="0.3">
      <c r="A415" t="s">
        <v>1880</v>
      </c>
      <c r="B415" s="1">
        <v>41218</v>
      </c>
      <c r="C415" s="1">
        <v>41224</v>
      </c>
      <c r="D415" t="s">
        <v>22</v>
      </c>
      <c r="E415" t="s">
        <v>1881</v>
      </c>
      <c r="F415" t="s">
        <v>24</v>
      </c>
      <c r="G415" t="s">
        <v>395</v>
      </c>
      <c r="H415" t="s">
        <v>135</v>
      </c>
      <c r="I415" t="s">
        <v>136</v>
      </c>
      <c r="J415" t="s">
        <v>396</v>
      </c>
      <c r="K415" t="s">
        <v>1882</v>
      </c>
      <c r="L415" t="s">
        <v>30</v>
      </c>
      <c r="M415" t="s">
        <v>31</v>
      </c>
      <c r="N415" t="s">
        <v>1883</v>
      </c>
      <c r="O415" s="2">
        <v>25</v>
      </c>
      <c r="P415">
        <v>6</v>
      </c>
      <c r="Q415" s="3">
        <v>0.2</v>
      </c>
      <c r="R415" s="2">
        <v>8.8704000000000001</v>
      </c>
      <c r="S415" s="2">
        <v>2.65</v>
      </c>
      <c r="T415" t="s">
        <v>77</v>
      </c>
      <c r="U415">
        <v>2012</v>
      </c>
    </row>
    <row r="416" spans="1:21" x14ac:dyDescent="0.3">
      <c r="A416" t="s">
        <v>1884</v>
      </c>
      <c r="B416" s="1">
        <v>40683</v>
      </c>
      <c r="C416" s="1">
        <v>40690</v>
      </c>
      <c r="D416" t="s">
        <v>22</v>
      </c>
      <c r="E416" t="s">
        <v>888</v>
      </c>
      <c r="F416" t="s">
        <v>24</v>
      </c>
      <c r="G416" t="s">
        <v>1044</v>
      </c>
      <c r="H416" t="s">
        <v>844</v>
      </c>
      <c r="I416" t="s">
        <v>39</v>
      </c>
      <c r="J416" t="s">
        <v>57</v>
      </c>
      <c r="K416" t="s">
        <v>1885</v>
      </c>
      <c r="L416" t="s">
        <v>30</v>
      </c>
      <c r="M416" t="s">
        <v>370</v>
      </c>
      <c r="N416" t="s">
        <v>1886</v>
      </c>
      <c r="O416" s="2">
        <v>130</v>
      </c>
      <c r="P416">
        <v>4</v>
      </c>
      <c r="Q416" s="3">
        <v>0</v>
      </c>
      <c r="R416" s="2">
        <v>18.079999999999998</v>
      </c>
      <c r="S416" s="2">
        <v>15.37</v>
      </c>
      <c r="T416" t="s">
        <v>77</v>
      </c>
      <c r="U416">
        <v>2011</v>
      </c>
    </row>
    <row r="417" spans="1:21" x14ac:dyDescent="0.3">
      <c r="A417" t="s">
        <v>1887</v>
      </c>
      <c r="B417" s="1">
        <v>41055</v>
      </c>
      <c r="C417" s="1">
        <v>41061</v>
      </c>
      <c r="D417" t="s">
        <v>22</v>
      </c>
      <c r="E417" t="s">
        <v>1888</v>
      </c>
      <c r="F417" t="s">
        <v>54</v>
      </c>
      <c r="G417" t="s">
        <v>1889</v>
      </c>
      <c r="H417" t="s">
        <v>844</v>
      </c>
      <c r="I417" t="s">
        <v>39</v>
      </c>
      <c r="J417" t="s">
        <v>57</v>
      </c>
      <c r="K417" t="s">
        <v>1890</v>
      </c>
      <c r="L417" t="s">
        <v>30</v>
      </c>
      <c r="M417" t="s">
        <v>97</v>
      </c>
      <c r="N417" t="s">
        <v>1891</v>
      </c>
      <c r="O417" s="2">
        <v>47</v>
      </c>
      <c r="P417">
        <v>5</v>
      </c>
      <c r="Q417" s="3">
        <v>0</v>
      </c>
      <c r="R417" s="2">
        <v>20.100000000000001</v>
      </c>
      <c r="S417" s="2">
        <v>2.67</v>
      </c>
      <c r="T417" t="s">
        <v>77</v>
      </c>
      <c r="U417">
        <v>2012</v>
      </c>
    </row>
    <row r="418" spans="1:21" x14ac:dyDescent="0.3">
      <c r="A418" t="s">
        <v>1892</v>
      </c>
      <c r="B418" s="1">
        <v>41408</v>
      </c>
      <c r="C418" s="1">
        <v>41412</v>
      </c>
      <c r="D418" t="s">
        <v>22</v>
      </c>
      <c r="E418" t="s">
        <v>1145</v>
      </c>
      <c r="F418" t="s">
        <v>54</v>
      </c>
      <c r="G418" t="s">
        <v>389</v>
      </c>
      <c r="H418" t="s">
        <v>390</v>
      </c>
      <c r="I418" t="s">
        <v>39</v>
      </c>
      <c r="J418" t="s">
        <v>57</v>
      </c>
      <c r="K418" t="s">
        <v>1893</v>
      </c>
      <c r="L418" t="s">
        <v>30</v>
      </c>
      <c r="M418" t="s">
        <v>105</v>
      </c>
      <c r="N418" t="s">
        <v>1894</v>
      </c>
      <c r="O418" s="2">
        <v>64</v>
      </c>
      <c r="P418">
        <v>2</v>
      </c>
      <c r="Q418" s="3">
        <v>0</v>
      </c>
      <c r="R418" s="2">
        <v>12.2</v>
      </c>
      <c r="S418" s="2">
        <v>10.130000000000001</v>
      </c>
      <c r="T418" t="s">
        <v>99</v>
      </c>
      <c r="U418">
        <v>2013</v>
      </c>
    </row>
    <row r="419" spans="1:21" x14ac:dyDescent="0.3">
      <c r="A419" t="s">
        <v>1895</v>
      </c>
      <c r="B419" s="1">
        <v>41218</v>
      </c>
      <c r="C419" s="1">
        <v>41224</v>
      </c>
      <c r="D419" t="s">
        <v>22</v>
      </c>
      <c r="E419" t="s">
        <v>1896</v>
      </c>
      <c r="F419" t="s">
        <v>36</v>
      </c>
      <c r="G419" t="s">
        <v>414</v>
      </c>
      <c r="H419" t="s">
        <v>414</v>
      </c>
      <c r="I419" t="s">
        <v>39</v>
      </c>
      <c r="J419" t="s">
        <v>57</v>
      </c>
      <c r="K419" t="s">
        <v>1897</v>
      </c>
      <c r="L419" t="s">
        <v>30</v>
      </c>
      <c r="M419" t="s">
        <v>42</v>
      </c>
      <c r="N419" t="s">
        <v>1898</v>
      </c>
      <c r="O419" s="2">
        <v>111</v>
      </c>
      <c r="P419">
        <v>1</v>
      </c>
      <c r="Q419" s="3">
        <v>0.4</v>
      </c>
      <c r="R419" s="2">
        <v>-40.764000000000003</v>
      </c>
      <c r="S419" s="2">
        <v>6.94</v>
      </c>
      <c r="T419" t="s">
        <v>33</v>
      </c>
      <c r="U419">
        <v>2012</v>
      </c>
    </row>
    <row r="420" spans="1:21" x14ac:dyDescent="0.3">
      <c r="A420" t="s">
        <v>1899</v>
      </c>
      <c r="B420" s="1">
        <v>41423</v>
      </c>
      <c r="C420" s="1">
        <v>41427</v>
      </c>
      <c r="D420" t="s">
        <v>22</v>
      </c>
      <c r="E420" t="s">
        <v>990</v>
      </c>
      <c r="F420" t="s">
        <v>54</v>
      </c>
      <c r="G420" t="s">
        <v>384</v>
      </c>
      <c r="H420" t="s">
        <v>26</v>
      </c>
      <c r="I420" t="s">
        <v>27</v>
      </c>
      <c r="J420" t="s">
        <v>28</v>
      </c>
      <c r="K420" t="s">
        <v>1900</v>
      </c>
      <c r="L420" t="s">
        <v>59</v>
      </c>
      <c r="M420" t="s">
        <v>139</v>
      </c>
      <c r="N420" t="s">
        <v>1901</v>
      </c>
      <c r="O420" s="2">
        <v>1697</v>
      </c>
      <c r="P420">
        <v>5</v>
      </c>
      <c r="Q420" s="3">
        <v>0.27</v>
      </c>
      <c r="R420" s="2">
        <v>-232.5</v>
      </c>
      <c r="S420" s="2">
        <v>103.96</v>
      </c>
      <c r="T420" t="s">
        <v>33</v>
      </c>
      <c r="U420">
        <v>2013</v>
      </c>
    </row>
    <row r="421" spans="1:21" x14ac:dyDescent="0.3">
      <c r="A421" t="s">
        <v>1902</v>
      </c>
      <c r="B421" s="1">
        <v>40707</v>
      </c>
      <c r="C421" s="1">
        <v>40711</v>
      </c>
      <c r="D421" t="s">
        <v>22</v>
      </c>
      <c r="E421" t="s">
        <v>1075</v>
      </c>
      <c r="F421" t="s">
        <v>54</v>
      </c>
      <c r="G421" t="s">
        <v>414</v>
      </c>
      <c r="H421" t="s">
        <v>414</v>
      </c>
      <c r="I421" t="s">
        <v>39</v>
      </c>
      <c r="J421" t="s">
        <v>57</v>
      </c>
      <c r="K421" t="s">
        <v>1903</v>
      </c>
      <c r="L421" t="s">
        <v>59</v>
      </c>
      <c r="M421" t="s">
        <v>60</v>
      </c>
      <c r="N421" t="s">
        <v>1904</v>
      </c>
      <c r="O421" s="2">
        <v>23</v>
      </c>
      <c r="P421">
        <v>3</v>
      </c>
      <c r="Q421" s="3">
        <v>0.4</v>
      </c>
      <c r="R421" s="2">
        <v>-0.79200000000000004</v>
      </c>
      <c r="S421" s="2">
        <v>1.36</v>
      </c>
      <c r="T421" t="s">
        <v>33</v>
      </c>
      <c r="U421">
        <v>2011</v>
      </c>
    </row>
    <row r="422" spans="1:21" x14ac:dyDescent="0.3">
      <c r="A422" t="s">
        <v>1905</v>
      </c>
      <c r="B422" s="1">
        <v>40700</v>
      </c>
      <c r="C422" s="1">
        <v>40703</v>
      </c>
      <c r="D422" t="s">
        <v>84</v>
      </c>
      <c r="E422" t="s">
        <v>1906</v>
      </c>
      <c r="F422" t="s">
        <v>24</v>
      </c>
      <c r="G422" t="s">
        <v>440</v>
      </c>
      <c r="H422" t="s">
        <v>56</v>
      </c>
      <c r="I422" t="s">
        <v>49</v>
      </c>
      <c r="J422" t="s">
        <v>57</v>
      </c>
      <c r="K422" t="s">
        <v>1907</v>
      </c>
      <c r="L422" t="s">
        <v>30</v>
      </c>
      <c r="M422" t="s">
        <v>97</v>
      </c>
      <c r="N422" t="s">
        <v>1908</v>
      </c>
      <c r="O422" s="2">
        <v>58</v>
      </c>
      <c r="P422">
        <v>3</v>
      </c>
      <c r="Q422" s="3">
        <v>0</v>
      </c>
      <c r="R422" s="2">
        <v>26.73</v>
      </c>
      <c r="S422" s="2">
        <v>16.600000000000001</v>
      </c>
      <c r="T422" t="s">
        <v>99</v>
      </c>
      <c r="U422">
        <v>2011</v>
      </c>
    </row>
    <row r="423" spans="1:21" x14ac:dyDescent="0.3">
      <c r="A423" t="s">
        <v>1909</v>
      </c>
      <c r="B423" s="1">
        <v>41450</v>
      </c>
      <c r="C423" s="1">
        <v>41452</v>
      </c>
      <c r="D423" t="s">
        <v>45</v>
      </c>
      <c r="E423" t="s">
        <v>1910</v>
      </c>
      <c r="F423" t="s">
        <v>54</v>
      </c>
      <c r="G423" t="s">
        <v>134</v>
      </c>
      <c r="H423" t="s">
        <v>135</v>
      </c>
      <c r="I423" t="s">
        <v>136</v>
      </c>
      <c r="J423" t="s">
        <v>137</v>
      </c>
      <c r="K423" t="s">
        <v>1911</v>
      </c>
      <c r="L423" t="s">
        <v>30</v>
      </c>
      <c r="M423" t="s">
        <v>105</v>
      </c>
      <c r="N423" t="s">
        <v>1912</v>
      </c>
      <c r="O423" s="2">
        <v>105</v>
      </c>
      <c r="P423">
        <v>1</v>
      </c>
      <c r="Q423" s="3">
        <v>0</v>
      </c>
      <c r="R423" s="2">
        <v>50.328000000000003</v>
      </c>
      <c r="S423" s="2">
        <v>12.47</v>
      </c>
      <c r="T423" t="s">
        <v>99</v>
      </c>
      <c r="U423">
        <v>2013</v>
      </c>
    </row>
    <row r="424" spans="1:21" x14ac:dyDescent="0.3">
      <c r="A424" t="s">
        <v>1913</v>
      </c>
      <c r="B424" s="1">
        <v>41817</v>
      </c>
      <c r="C424" s="1">
        <v>41820</v>
      </c>
      <c r="D424" t="s">
        <v>45</v>
      </c>
      <c r="E424" t="s">
        <v>1914</v>
      </c>
      <c r="F424" t="s">
        <v>54</v>
      </c>
      <c r="G424" t="s">
        <v>1915</v>
      </c>
      <c r="H424" t="s">
        <v>26</v>
      </c>
      <c r="I424" t="s">
        <v>27</v>
      </c>
      <c r="J424" t="s">
        <v>28</v>
      </c>
      <c r="K424" t="s">
        <v>1916</v>
      </c>
      <c r="L424" t="s">
        <v>59</v>
      </c>
      <c r="M424" t="s">
        <v>60</v>
      </c>
      <c r="N424" t="s">
        <v>1917</v>
      </c>
      <c r="O424" s="2">
        <v>23</v>
      </c>
      <c r="P424">
        <v>2</v>
      </c>
      <c r="Q424" s="3">
        <v>0.27</v>
      </c>
      <c r="R424" s="2">
        <v>-1.9308000000000001</v>
      </c>
      <c r="S424" s="2">
        <v>2.96</v>
      </c>
      <c r="T424" t="s">
        <v>33</v>
      </c>
      <c r="U424">
        <v>2014</v>
      </c>
    </row>
    <row r="425" spans="1:21" x14ac:dyDescent="0.3">
      <c r="A425" t="s">
        <v>1918</v>
      </c>
      <c r="B425" s="1">
        <v>41445</v>
      </c>
      <c r="C425" s="1">
        <v>41450</v>
      </c>
      <c r="D425" t="s">
        <v>45</v>
      </c>
      <c r="E425" t="s">
        <v>1919</v>
      </c>
      <c r="F425" t="s">
        <v>54</v>
      </c>
      <c r="G425" t="s">
        <v>1920</v>
      </c>
      <c r="H425" t="s">
        <v>723</v>
      </c>
      <c r="I425" t="s">
        <v>27</v>
      </c>
      <c r="J425" t="s">
        <v>28</v>
      </c>
      <c r="K425" t="s">
        <v>1921</v>
      </c>
      <c r="L425" t="s">
        <v>30</v>
      </c>
      <c r="M425" t="s">
        <v>75</v>
      </c>
      <c r="N425" t="s">
        <v>1922</v>
      </c>
      <c r="O425" s="2">
        <v>17</v>
      </c>
      <c r="P425">
        <v>3</v>
      </c>
      <c r="Q425" s="3">
        <v>0.45</v>
      </c>
      <c r="R425" s="2">
        <v>-4.0095000000000001</v>
      </c>
      <c r="S425" s="2">
        <v>0.51</v>
      </c>
      <c r="T425" t="s">
        <v>33</v>
      </c>
      <c r="U425">
        <v>2013</v>
      </c>
    </row>
    <row r="426" spans="1:21" x14ac:dyDescent="0.3">
      <c r="A426" t="s">
        <v>1923</v>
      </c>
      <c r="B426" s="1">
        <v>41078</v>
      </c>
      <c r="C426" s="1">
        <v>41083</v>
      </c>
      <c r="D426" t="s">
        <v>22</v>
      </c>
      <c r="E426" t="s">
        <v>1924</v>
      </c>
      <c r="F426" t="s">
        <v>36</v>
      </c>
      <c r="G426" t="s">
        <v>310</v>
      </c>
      <c r="H426" t="s">
        <v>135</v>
      </c>
      <c r="I426" t="s">
        <v>136</v>
      </c>
      <c r="J426" t="s">
        <v>137</v>
      </c>
      <c r="K426" t="s">
        <v>1925</v>
      </c>
      <c r="L426" t="s">
        <v>30</v>
      </c>
      <c r="M426" t="s">
        <v>31</v>
      </c>
      <c r="N426" t="s">
        <v>1926</v>
      </c>
      <c r="O426" s="2">
        <v>9</v>
      </c>
      <c r="P426">
        <v>2</v>
      </c>
      <c r="Q426" s="3">
        <v>0.7</v>
      </c>
      <c r="R426" s="2">
        <v>-6.1040000000000001</v>
      </c>
      <c r="S426" s="2">
        <v>0.77</v>
      </c>
      <c r="T426" t="s">
        <v>33</v>
      </c>
      <c r="U426">
        <v>2012</v>
      </c>
    </row>
    <row r="427" spans="1:21" x14ac:dyDescent="0.3">
      <c r="A427" t="s">
        <v>1927</v>
      </c>
      <c r="B427" s="1">
        <v>40883</v>
      </c>
      <c r="C427" s="1">
        <v>40885</v>
      </c>
      <c r="D427" t="s">
        <v>45</v>
      </c>
      <c r="E427" t="s">
        <v>1928</v>
      </c>
      <c r="F427" t="s">
        <v>54</v>
      </c>
      <c r="G427" t="s">
        <v>569</v>
      </c>
      <c r="H427" t="s">
        <v>135</v>
      </c>
      <c r="I427" t="s">
        <v>136</v>
      </c>
      <c r="J427" t="s">
        <v>57</v>
      </c>
      <c r="K427" t="s">
        <v>1929</v>
      </c>
      <c r="L427" t="s">
        <v>59</v>
      </c>
      <c r="M427" t="s">
        <v>60</v>
      </c>
      <c r="N427" t="s">
        <v>1930</v>
      </c>
      <c r="O427" s="2">
        <v>24</v>
      </c>
      <c r="P427">
        <v>3</v>
      </c>
      <c r="Q427" s="3">
        <v>0.6</v>
      </c>
      <c r="R427" s="2">
        <v>-14.3856</v>
      </c>
      <c r="S427" s="2">
        <v>4.26</v>
      </c>
      <c r="T427" t="s">
        <v>99</v>
      </c>
      <c r="U427">
        <v>2011</v>
      </c>
    </row>
    <row r="428" spans="1:21" x14ac:dyDescent="0.3">
      <c r="A428" t="s">
        <v>1931</v>
      </c>
      <c r="B428" s="1">
        <v>41087</v>
      </c>
      <c r="C428" s="1">
        <v>41092</v>
      </c>
      <c r="D428" t="s">
        <v>45</v>
      </c>
      <c r="E428" t="s">
        <v>1775</v>
      </c>
      <c r="F428" t="s">
        <v>54</v>
      </c>
      <c r="G428" t="s">
        <v>1044</v>
      </c>
      <c r="H428" t="s">
        <v>844</v>
      </c>
      <c r="I428" t="s">
        <v>39</v>
      </c>
      <c r="J428" t="s">
        <v>57</v>
      </c>
      <c r="K428" t="s">
        <v>1932</v>
      </c>
      <c r="L428" t="s">
        <v>146</v>
      </c>
      <c r="M428" t="s">
        <v>195</v>
      </c>
      <c r="N428" t="s">
        <v>1933</v>
      </c>
      <c r="O428" s="2">
        <v>449</v>
      </c>
      <c r="P428">
        <v>4</v>
      </c>
      <c r="Q428" s="3">
        <v>0</v>
      </c>
      <c r="R428" s="2">
        <v>26.88</v>
      </c>
      <c r="S428" s="2">
        <v>39.83</v>
      </c>
      <c r="T428" t="s">
        <v>33</v>
      </c>
      <c r="U428">
        <v>2012</v>
      </c>
    </row>
    <row r="429" spans="1:21" x14ac:dyDescent="0.3">
      <c r="A429" t="s">
        <v>1934</v>
      </c>
      <c r="B429" s="1">
        <v>40712</v>
      </c>
      <c r="C429" s="1">
        <v>40714</v>
      </c>
      <c r="D429" t="s">
        <v>84</v>
      </c>
      <c r="E429" t="s">
        <v>1935</v>
      </c>
      <c r="F429" t="s">
        <v>54</v>
      </c>
      <c r="G429" t="s">
        <v>1936</v>
      </c>
      <c r="H429" t="s">
        <v>1937</v>
      </c>
      <c r="I429" t="s">
        <v>88</v>
      </c>
      <c r="J429" t="s">
        <v>88</v>
      </c>
      <c r="K429" t="s">
        <v>1938</v>
      </c>
      <c r="L429" t="s">
        <v>146</v>
      </c>
      <c r="M429" t="s">
        <v>347</v>
      </c>
      <c r="N429" t="s">
        <v>1939</v>
      </c>
      <c r="O429" s="2">
        <v>85</v>
      </c>
      <c r="P429">
        <v>2</v>
      </c>
      <c r="Q429" s="3">
        <v>0.7</v>
      </c>
      <c r="R429" s="2">
        <v>-185.11199999999999</v>
      </c>
      <c r="S429" s="2">
        <v>14.04</v>
      </c>
      <c r="T429" t="s">
        <v>99</v>
      </c>
      <c r="U429">
        <v>2011</v>
      </c>
    </row>
    <row r="430" spans="1:21" x14ac:dyDescent="0.3">
      <c r="A430" t="s">
        <v>1940</v>
      </c>
      <c r="B430" s="1">
        <v>41949</v>
      </c>
      <c r="C430" s="1">
        <v>41954</v>
      </c>
      <c r="D430" t="s">
        <v>22</v>
      </c>
      <c r="E430" t="s">
        <v>1941</v>
      </c>
      <c r="F430" t="s">
        <v>36</v>
      </c>
      <c r="G430" t="s">
        <v>1942</v>
      </c>
      <c r="H430" t="s">
        <v>1147</v>
      </c>
      <c r="I430" t="s">
        <v>39</v>
      </c>
      <c r="J430" t="s">
        <v>129</v>
      </c>
      <c r="K430" t="s">
        <v>1943</v>
      </c>
      <c r="L430" t="s">
        <v>30</v>
      </c>
      <c r="M430" t="s">
        <v>410</v>
      </c>
      <c r="N430" t="s">
        <v>1944</v>
      </c>
      <c r="O430" s="2">
        <v>77</v>
      </c>
      <c r="P430">
        <v>3</v>
      </c>
      <c r="Q430" s="3">
        <v>0</v>
      </c>
      <c r="R430" s="2">
        <v>20.04</v>
      </c>
      <c r="S430" s="2">
        <v>1.81</v>
      </c>
      <c r="T430" t="s">
        <v>33</v>
      </c>
      <c r="U430">
        <v>2014</v>
      </c>
    </row>
    <row r="431" spans="1:21" x14ac:dyDescent="0.3">
      <c r="A431" t="s">
        <v>1945</v>
      </c>
      <c r="B431" s="1">
        <v>41438</v>
      </c>
      <c r="C431" s="1">
        <v>41442</v>
      </c>
      <c r="D431" t="s">
        <v>45</v>
      </c>
      <c r="E431" t="s">
        <v>1946</v>
      </c>
      <c r="F431" t="s">
        <v>36</v>
      </c>
      <c r="G431" t="s">
        <v>1947</v>
      </c>
      <c r="H431" t="s">
        <v>87</v>
      </c>
      <c r="I431" t="s">
        <v>88</v>
      </c>
      <c r="J431" t="s">
        <v>88</v>
      </c>
      <c r="K431" t="s">
        <v>1948</v>
      </c>
      <c r="L431" t="s">
        <v>30</v>
      </c>
      <c r="M431" t="s">
        <v>31</v>
      </c>
      <c r="N431" t="s">
        <v>1949</v>
      </c>
      <c r="O431" s="2">
        <v>5</v>
      </c>
      <c r="P431">
        <v>2</v>
      </c>
      <c r="Q431" s="3">
        <v>0.6</v>
      </c>
      <c r="R431" s="2">
        <v>-3.8279999999999998</v>
      </c>
      <c r="S431" s="2">
        <v>0.99</v>
      </c>
      <c r="T431" t="s">
        <v>99</v>
      </c>
      <c r="U431">
        <v>2013</v>
      </c>
    </row>
    <row r="432" spans="1:21" x14ac:dyDescent="0.3">
      <c r="A432" t="s">
        <v>1950</v>
      </c>
      <c r="B432" s="1">
        <v>41818</v>
      </c>
      <c r="C432" s="1">
        <v>41819</v>
      </c>
      <c r="D432" t="s">
        <v>84</v>
      </c>
      <c r="E432" t="s">
        <v>162</v>
      </c>
      <c r="F432" t="s">
        <v>36</v>
      </c>
      <c r="G432" t="s">
        <v>1951</v>
      </c>
      <c r="H432" t="s">
        <v>72</v>
      </c>
      <c r="I432" t="s">
        <v>27</v>
      </c>
      <c r="J432" t="s">
        <v>73</v>
      </c>
      <c r="K432" t="s">
        <v>1952</v>
      </c>
      <c r="L432" t="s">
        <v>59</v>
      </c>
      <c r="M432" t="s">
        <v>60</v>
      </c>
      <c r="N432" t="s">
        <v>1953</v>
      </c>
      <c r="O432" s="2">
        <v>206</v>
      </c>
      <c r="P432">
        <v>4</v>
      </c>
      <c r="Q432" s="3">
        <v>0</v>
      </c>
      <c r="R432" s="2">
        <v>30.84</v>
      </c>
      <c r="S432" s="2">
        <v>72.37</v>
      </c>
      <c r="T432" t="s">
        <v>68</v>
      </c>
      <c r="U432">
        <v>2014</v>
      </c>
    </row>
    <row r="433" spans="1:21" x14ac:dyDescent="0.3">
      <c r="A433" t="s">
        <v>1954</v>
      </c>
      <c r="B433" s="1">
        <v>41814</v>
      </c>
      <c r="C433" s="1">
        <v>41817</v>
      </c>
      <c r="D433" t="s">
        <v>45</v>
      </c>
      <c r="E433" t="s">
        <v>1955</v>
      </c>
      <c r="F433" t="s">
        <v>54</v>
      </c>
      <c r="G433" t="s">
        <v>1956</v>
      </c>
      <c r="H433" t="s">
        <v>1147</v>
      </c>
      <c r="I433" t="s">
        <v>39</v>
      </c>
      <c r="J433" t="s">
        <v>129</v>
      </c>
      <c r="K433" t="s">
        <v>1957</v>
      </c>
      <c r="L433" t="s">
        <v>30</v>
      </c>
      <c r="M433" t="s">
        <v>370</v>
      </c>
      <c r="N433" t="s">
        <v>1958</v>
      </c>
      <c r="O433" s="2">
        <v>25</v>
      </c>
      <c r="P433">
        <v>1</v>
      </c>
      <c r="Q433" s="3">
        <v>0</v>
      </c>
      <c r="R433" s="2">
        <v>12.6</v>
      </c>
      <c r="S433" s="2">
        <v>1.38</v>
      </c>
      <c r="T433" t="s">
        <v>33</v>
      </c>
      <c r="U433">
        <v>2014</v>
      </c>
    </row>
    <row r="434" spans="1:21" x14ac:dyDescent="0.3">
      <c r="A434" t="s">
        <v>1959</v>
      </c>
      <c r="B434" s="1">
        <v>41809</v>
      </c>
      <c r="C434" s="1">
        <v>41813</v>
      </c>
      <c r="D434" t="s">
        <v>22</v>
      </c>
      <c r="E434" t="s">
        <v>1960</v>
      </c>
      <c r="F434" t="s">
        <v>24</v>
      </c>
      <c r="G434" t="s">
        <v>1961</v>
      </c>
      <c r="H434" t="s">
        <v>1962</v>
      </c>
      <c r="I434" t="s">
        <v>88</v>
      </c>
      <c r="J434" t="s">
        <v>88</v>
      </c>
      <c r="K434" t="s">
        <v>1963</v>
      </c>
      <c r="L434" t="s">
        <v>59</v>
      </c>
      <c r="M434" t="s">
        <v>60</v>
      </c>
      <c r="N434" t="s">
        <v>1964</v>
      </c>
      <c r="O434" s="2">
        <v>38</v>
      </c>
      <c r="P434">
        <v>2</v>
      </c>
      <c r="Q434" s="3">
        <v>0</v>
      </c>
      <c r="R434" s="2">
        <v>6</v>
      </c>
      <c r="S434" s="2">
        <v>3.95</v>
      </c>
      <c r="T434" t="s">
        <v>33</v>
      </c>
      <c r="U434">
        <v>2014</v>
      </c>
    </row>
    <row r="435" spans="1:21" x14ac:dyDescent="0.3">
      <c r="A435" t="s">
        <v>1965</v>
      </c>
      <c r="B435" s="1">
        <v>41810</v>
      </c>
      <c r="C435" s="1">
        <v>41815</v>
      </c>
      <c r="D435" t="s">
        <v>22</v>
      </c>
      <c r="E435" t="s">
        <v>1966</v>
      </c>
      <c r="F435" t="s">
        <v>24</v>
      </c>
      <c r="G435" t="s">
        <v>1967</v>
      </c>
      <c r="H435" t="s">
        <v>316</v>
      </c>
      <c r="I435" t="s">
        <v>27</v>
      </c>
      <c r="J435" t="s">
        <v>212</v>
      </c>
      <c r="K435" t="s">
        <v>1968</v>
      </c>
      <c r="L435" t="s">
        <v>59</v>
      </c>
      <c r="M435" t="s">
        <v>60</v>
      </c>
      <c r="N435" t="s">
        <v>1969</v>
      </c>
      <c r="O435" s="2">
        <v>45</v>
      </c>
      <c r="P435">
        <v>2</v>
      </c>
      <c r="Q435" s="3">
        <v>0.1</v>
      </c>
      <c r="R435" s="2">
        <v>15.108000000000001</v>
      </c>
      <c r="S435" s="2">
        <v>2.94</v>
      </c>
      <c r="T435" t="s">
        <v>33</v>
      </c>
      <c r="U435">
        <v>2014</v>
      </c>
    </row>
    <row r="436" spans="1:21" x14ac:dyDescent="0.3">
      <c r="A436" t="s">
        <v>1970</v>
      </c>
      <c r="B436" s="1">
        <v>40974</v>
      </c>
      <c r="C436" s="1">
        <v>40979</v>
      </c>
      <c r="D436" t="s">
        <v>22</v>
      </c>
      <c r="E436" t="s">
        <v>1971</v>
      </c>
      <c r="F436" t="s">
        <v>24</v>
      </c>
      <c r="G436" t="s">
        <v>893</v>
      </c>
      <c r="H436" t="s">
        <v>894</v>
      </c>
      <c r="I436" t="s">
        <v>117</v>
      </c>
      <c r="J436" t="s">
        <v>117</v>
      </c>
      <c r="K436" t="s">
        <v>1972</v>
      </c>
      <c r="L436" t="s">
        <v>30</v>
      </c>
      <c r="M436" t="s">
        <v>105</v>
      </c>
      <c r="N436" t="s">
        <v>1973</v>
      </c>
      <c r="O436" s="2">
        <v>45</v>
      </c>
      <c r="P436">
        <v>1</v>
      </c>
      <c r="Q436" s="3">
        <v>0</v>
      </c>
      <c r="R436" s="2">
        <v>14.34</v>
      </c>
      <c r="S436" s="2">
        <v>6.07</v>
      </c>
      <c r="T436" t="s">
        <v>99</v>
      </c>
      <c r="U436">
        <v>2012</v>
      </c>
    </row>
    <row r="437" spans="1:21" x14ac:dyDescent="0.3">
      <c r="A437" t="s">
        <v>1974</v>
      </c>
      <c r="B437" s="1">
        <v>40708</v>
      </c>
      <c r="C437" s="1">
        <v>40714</v>
      </c>
      <c r="D437" t="s">
        <v>22</v>
      </c>
      <c r="E437" t="s">
        <v>1571</v>
      </c>
      <c r="F437" t="s">
        <v>24</v>
      </c>
      <c r="G437" t="s">
        <v>1975</v>
      </c>
      <c r="H437" t="s">
        <v>296</v>
      </c>
      <c r="I437" t="s">
        <v>88</v>
      </c>
      <c r="J437" t="s">
        <v>88</v>
      </c>
      <c r="K437" t="s">
        <v>1976</v>
      </c>
      <c r="L437" t="s">
        <v>30</v>
      </c>
      <c r="M437" t="s">
        <v>75</v>
      </c>
      <c r="N437" t="s">
        <v>1977</v>
      </c>
      <c r="O437" s="2">
        <v>12</v>
      </c>
      <c r="P437">
        <v>1</v>
      </c>
      <c r="Q437" s="3">
        <v>0</v>
      </c>
      <c r="R437" s="2">
        <v>2.97</v>
      </c>
      <c r="S437" s="2">
        <v>0.54</v>
      </c>
      <c r="T437" t="s">
        <v>33</v>
      </c>
      <c r="U437">
        <v>2011</v>
      </c>
    </row>
    <row r="438" spans="1:21" x14ac:dyDescent="0.3">
      <c r="A438" t="s">
        <v>1978</v>
      </c>
      <c r="B438" s="1">
        <v>41979</v>
      </c>
      <c r="C438" s="1">
        <v>41981</v>
      </c>
      <c r="D438" t="s">
        <v>45</v>
      </c>
      <c r="E438" t="s">
        <v>1979</v>
      </c>
      <c r="F438" t="s">
        <v>54</v>
      </c>
      <c r="G438" t="s">
        <v>134</v>
      </c>
      <c r="H438" t="s">
        <v>135</v>
      </c>
      <c r="I438" t="s">
        <v>136</v>
      </c>
      <c r="J438" t="s">
        <v>137</v>
      </c>
      <c r="K438" t="s">
        <v>1980</v>
      </c>
      <c r="L438" t="s">
        <v>30</v>
      </c>
      <c r="M438" t="s">
        <v>105</v>
      </c>
      <c r="N438" t="s">
        <v>1981</v>
      </c>
      <c r="O438" s="2">
        <v>93</v>
      </c>
      <c r="P438">
        <v>3</v>
      </c>
      <c r="Q438" s="3">
        <v>0</v>
      </c>
      <c r="R438" s="2">
        <v>41.823</v>
      </c>
      <c r="S438" s="2">
        <v>18.579999999999998</v>
      </c>
      <c r="T438" t="s">
        <v>68</v>
      </c>
      <c r="U438">
        <v>2014</v>
      </c>
    </row>
    <row r="439" spans="1:21" x14ac:dyDescent="0.3">
      <c r="A439" t="s">
        <v>1982</v>
      </c>
      <c r="B439" s="1">
        <v>41806</v>
      </c>
      <c r="C439" s="1">
        <v>41811</v>
      </c>
      <c r="D439" t="s">
        <v>22</v>
      </c>
      <c r="E439" t="s">
        <v>1983</v>
      </c>
      <c r="F439" t="s">
        <v>24</v>
      </c>
      <c r="G439" t="s">
        <v>37</v>
      </c>
      <c r="H439" t="s">
        <v>38</v>
      </c>
      <c r="I439" t="s">
        <v>39</v>
      </c>
      <c r="J439" t="s">
        <v>40</v>
      </c>
      <c r="K439" t="s">
        <v>1984</v>
      </c>
      <c r="L439" t="s">
        <v>30</v>
      </c>
      <c r="M439" t="s">
        <v>97</v>
      </c>
      <c r="N439" t="s">
        <v>1985</v>
      </c>
      <c r="O439" s="2">
        <v>19</v>
      </c>
      <c r="P439">
        <v>2</v>
      </c>
      <c r="Q439" s="3">
        <v>0</v>
      </c>
      <c r="R439" s="2">
        <v>4.72</v>
      </c>
      <c r="S439" s="2">
        <v>1.1000000000000001</v>
      </c>
      <c r="T439" t="s">
        <v>33</v>
      </c>
      <c r="U439">
        <v>2014</v>
      </c>
    </row>
    <row r="440" spans="1:21" x14ac:dyDescent="0.3">
      <c r="A440" t="s">
        <v>1986</v>
      </c>
      <c r="B440" s="1">
        <v>41815</v>
      </c>
      <c r="C440" s="1">
        <v>41820</v>
      </c>
      <c r="D440" t="s">
        <v>22</v>
      </c>
      <c r="E440" t="s">
        <v>1987</v>
      </c>
      <c r="F440" t="s">
        <v>54</v>
      </c>
      <c r="G440" t="s">
        <v>64</v>
      </c>
      <c r="H440" t="s">
        <v>56</v>
      </c>
      <c r="I440" t="s">
        <v>49</v>
      </c>
      <c r="J440" t="s">
        <v>57</v>
      </c>
      <c r="K440" t="s">
        <v>1988</v>
      </c>
      <c r="L440" t="s">
        <v>146</v>
      </c>
      <c r="M440" t="s">
        <v>147</v>
      </c>
      <c r="N440" t="s">
        <v>1989</v>
      </c>
      <c r="O440" s="2">
        <v>125</v>
      </c>
      <c r="P440">
        <v>2</v>
      </c>
      <c r="Q440" s="3">
        <v>0.15</v>
      </c>
      <c r="R440" s="2">
        <v>39.573</v>
      </c>
      <c r="S440" s="2">
        <v>10.01</v>
      </c>
      <c r="T440" t="s">
        <v>33</v>
      </c>
      <c r="U440">
        <v>2014</v>
      </c>
    </row>
    <row r="441" spans="1:21" x14ac:dyDescent="0.3">
      <c r="A441" t="s">
        <v>1990</v>
      </c>
      <c r="B441" s="1">
        <v>41443</v>
      </c>
      <c r="C441" s="1">
        <v>41448</v>
      </c>
      <c r="D441" t="s">
        <v>22</v>
      </c>
      <c r="E441" t="s">
        <v>1991</v>
      </c>
      <c r="F441" t="s">
        <v>54</v>
      </c>
      <c r="G441" t="s">
        <v>301</v>
      </c>
      <c r="H441" t="s">
        <v>56</v>
      </c>
      <c r="I441" t="s">
        <v>49</v>
      </c>
      <c r="J441" t="s">
        <v>57</v>
      </c>
      <c r="K441" t="s">
        <v>1992</v>
      </c>
      <c r="L441" t="s">
        <v>146</v>
      </c>
      <c r="M441" t="s">
        <v>195</v>
      </c>
      <c r="N441" t="s">
        <v>1993</v>
      </c>
      <c r="O441" s="2">
        <v>1331</v>
      </c>
      <c r="P441">
        <v>6</v>
      </c>
      <c r="Q441" s="3">
        <v>0.15</v>
      </c>
      <c r="R441" s="2">
        <v>-172.28700000000001</v>
      </c>
      <c r="S441" s="2">
        <v>100.17</v>
      </c>
      <c r="T441" t="s">
        <v>33</v>
      </c>
      <c r="U441">
        <v>2013</v>
      </c>
    </row>
    <row r="442" spans="1:21" x14ac:dyDescent="0.3">
      <c r="A442" t="s">
        <v>1994</v>
      </c>
      <c r="B442" s="1">
        <v>41523</v>
      </c>
      <c r="C442" s="1">
        <v>41529</v>
      </c>
      <c r="D442" t="s">
        <v>22</v>
      </c>
      <c r="E442" t="s">
        <v>1995</v>
      </c>
      <c r="F442" t="s">
        <v>54</v>
      </c>
      <c r="G442" t="s">
        <v>569</v>
      </c>
      <c r="H442" t="s">
        <v>135</v>
      </c>
      <c r="I442" t="s">
        <v>136</v>
      </c>
      <c r="J442" t="s">
        <v>57</v>
      </c>
      <c r="K442" t="s">
        <v>1996</v>
      </c>
      <c r="L442" t="s">
        <v>30</v>
      </c>
      <c r="M442" t="s">
        <v>66</v>
      </c>
      <c r="N442" t="s">
        <v>1997</v>
      </c>
      <c r="O442" s="2">
        <v>93</v>
      </c>
      <c r="P442">
        <v>3</v>
      </c>
      <c r="Q442" s="3">
        <v>0.2</v>
      </c>
      <c r="R442" s="2">
        <v>-17.523</v>
      </c>
      <c r="S442" s="2">
        <v>9.1300000000000008</v>
      </c>
      <c r="T442" t="s">
        <v>33</v>
      </c>
      <c r="U442">
        <v>2013</v>
      </c>
    </row>
    <row r="443" spans="1:21" x14ac:dyDescent="0.3">
      <c r="A443" t="s">
        <v>1998</v>
      </c>
      <c r="B443" s="1">
        <v>41804</v>
      </c>
      <c r="C443" s="1">
        <v>41808</v>
      </c>
      <c r="D443" t="s">
        <v>22</v>
      </c>
      <c r="E443" t="s">
        <v>1999</v>
      </c>
      <c r="F443" t="s">
        <v>54</v>
      </c>
      <c r="G443" t="s">
        <v>2000</v>
      </c>
      <c r="H443" t="s">
        <v>152</v>
      </c>
      <c r="I443" t="s">
        <v>27</v>
      </c>
      <c r="J443" t="s">
        <v>153</v>
      </c>
      <c r="K443" t="s">
        <v>2001</v>
      </c>
      <c r="L443" t="s">
        <v>30</v>
      </c>
      <c r="M443" t="s">
        <v>97</v>
      </c>
      <c r="N443" t="s">
        <v>2002</v>
      </c>
      <c r="O443" s="2">
        <v>45</v>
      </c>
      <c r="P443">
        <v>4</v>
      </c>
      <c r="Q443" s="3">
        <v>0</v>
      </c>
      <c r="R443" s="2">
        <v>2.16</v>
      </c>
      <c r="S443" s="2">
        <v>5.55</v>
      </c>
      <c r="T443" t="s">
        <v>99</v>
      </c>
      <c r="U443">
        <v>2014</v>
      </c>
    </row>
    <row r="444" spans="1:21" x14ac:dyDescent="0.3">
      <c r="A444" t="s">
        <v>2003</v>
      </c>
      <c r="B444" s="1">
        <v>40724</v>
      </c>
      <c r="C444" s="1">
        <v>40729</v>
      </c>
      <c r="D444" t="s">
        <v>22</v>
      </c>
      <c r="E444" t="s">
        <v>2004</v>
      </c>
      <c r="F444" t="s">
        <v>54</v>
      </c>
      <c r="G444" t="s">
        <v>395</v>
      </c>
      <c r="H444" t="s">
        <v>135</v>
      </c>
      <c r="I444" t="s">
        <v>136</v>
      </c>
      <c r="J444" t="s">
        <v>396</v>
      </c>
      <c r="K444" t="s">
        <v>2005</v>
      </c>
      <c r="L444" t="s">
        <v>30</v>
      </c>
      <c r="M444" t="s">
        <v>31</v>
      </c>
      <c r="N444" t="s">
        <v>2006</v>
      </c>
      <c r="O444" s="2">
        <v>335</v>
      </c>
      <c r="P444">
        <v>7</v>
      </c>
      <c r="Q444" s="3">
        <v>0.2</v>
      </c>
      <c r="R444" s="2">
        <v>108.7996</v>
      </c>
      <c r="S444" s="2">
        <v>25.42</v>
      </c>
      <c r="T444" t="s">
        <v>33</v>
      </c>
      <c r="U444">
        <v>2011</v>
      </c>
    </row>
    <row r="445" spans="1:21" x14ac:dyDescent="0.3">
      <c r="A445" t="s">
        <v>2007</v>
      </c>
      <c r="B445" s="1">
        <v>41814</v>
      </c>
      <c r="C445" s="1">
        <v>41820</v>
      </c>
      <c r="D445" t="s">
        <v>22</v>
      </c>
      <c r="E445" t="s">
        <v>2008</v>
      </c>
      <c r="F445" t="s">
        <v>54</v>
      </c>
      <c r="G445" t="s">
        <v>863</v>
      </c>
      <c r="H445" t="s">
        <v>152</v>
      </c>
      <c r="I445" t="s">
        <v>27</v>
      </c>
      <c r="J445" t="s">
        <v>153</v>
      </c>
      <c r="K445" t="s">
        <v>2009</v>
      </c>
      <c r="L445" t="s">
        <v>30</v>
      </c>
      <c r="M445" t="s">
        <v>410</v>
      </c>
      <c r="N445" t="s">
        <v>2010</v>
      </c>
      <c r="O445" s="2">
        <v>71</v>
      </c>
      <c r="P445">
        <v>3</v>
      </c>
      <c r="Q445" s="3">
        <v>0</v>
      </c>
      <c r="R445" s="2">
        <v>27.09</v>
      </c>
      <c r="S445" s="2">
        <v>7.09</v>
      </c>
      <c r="T445" t="s">
        <v>33</v>
      </c>
      <c r="U445">
        <v>2014</v>
      </c>
    </row>
    <row r="446" spans="1:21" x14ac:dyDescent="0.3">
      <c r="A446" t="s">
        <v>2011</v>
      </c>
      <c r="B446" s="1">
        <v>41080</v>
      </c>
      <c r="C446" s="1">
        <v>41085</v>
      </c>
      <c r="D446" t="s">
        <v>22</v>
      </c>
      <c r="E446" t="s">
        <v>1012</v>
      </c>
      <c r="F446" t="s">
        <v>54</v>
      </c>
      <c r="G446" t="s">
        <v>2012</v>
      </c>
      <c r="H446" t="s">
        <v>322</v>
      </c>
      <c r="I446" t="s">
        <v>88</v>
      </c>
      <c r="J446" t="s">
        <v>88</v>
      </c>
      <c r="K446" t="s">
        <v>2013</v>
      </c>
      <c r="L446" t="s">
        <v>30</v>
      </c>
      <c r="M446" t="s">
        <v>66</v>
      </c>
      <c r="N446" t="s">
        <v>2014</v>
      </c>
      <c r="O446" s="2">
        <v>48</v>
      </c>
      <c r="P446">
        <v>1</v>
      </c>
      <c r="Q446" s="3">
        <v>0</v>
      </c>
      <c r="R446" s="2">
        <v>6.18</v>
      </c>
      <c r="S446" s="2">
        <v>3.29</v>
      </c>
      <c r="T446" t="s">
        <v>33</v>
      </c>
      <c r="U446">
        <v>2012</v>
      </c>
    </row>
    <row r="447" spans="1:21" x14ac:dyDescent="0.3">
      <c r="A447" t="s">
        <v>2015</v>
      </c>
      <c r="B447" s="1">
        <v>41818</v>
      </c>
      <c r="C447" s="1">
        <v>41820</v>
      </c>
      <c r="D447" t="s">
        <v>45</v>
      </c>
      <c r="E447" t="s">
        <v>2016</v>
      </c>
      <c r="F447" t="s">
        <v>54</v>
      </c>
      <c r="G447" t="s">
        <v>2017</v>
      </c>
      <c r="H447" t="s">
        <v>558</v>
      </c>
      <c r="I447" t="s">
        <v>117</v>
      </c>
      <c r="J447" t="s">
        <v>117</v>
      </c>
      <c r="K447" t="s">
        <v>2018</v>
      </c>
      <c r="L447" t="s">
        <v>30</v>
      </c>
      <c r="M447" t="s">
        <v>31</v>
      </c>
      <c r="N447" t="s">
        <v>2019</v>
      </c>
      <c r="O447" s="2">
        <v>16</v>
      </c>
      <c r="P447">
        <v>1</v>
      </c>
      <c r="Q447" s="3">
        <v>0</v>
      </c>
      <c r="R447" s="2">
        <v>1.26</v>
      </c>
      <c r="S447" s="2">
        <v>5.2</v>
      </c>
      <c r="T447" t="s">
        <v>68</v>
      </c>
      <c r="U447">
        <v>2014</v>
      </c>
    </row>
    <row r="448" spans="1:21" x14ac:dyDescent="0.3">
      <c r="A448" t="s">
        <v>2020</v>
      </c>
      <c r="B448" s="1">
        <v>41089</v>
      </c>
      <c r="C448" s="1">
        <v>41096</v>
      </c>
      <c r="D448" t="s">
        <v>22</v>
      </c>
      <c r="E448" t="s">
        <v>826</v>
      </c>
      <c r="F448" t="s">
        <v>24</v>
      </c>
      <c r="G448" t="s">
        <v>722</v>
      </c>
      <c r="H448" t="s">
        <v>723</v>
      </c>
      <c r="I448" t="s">
        <v>27</v>
      </c>
      <c r="J448" t="s">
        <v>28</v>
      </c>
      <c r="K448" t="s">
        <v>2021</v>
      </c>
      <c r="L448" t="s">
        <v>30</v>
      </c>
      <c r="M448" t="s">
        <v>97</v>
      </c>
      <c r="N448" t="s">
        <v>2022</v>
      </c>
      <c r="O448" s="2">
        <v>9</v>
      </c>
      <c r="P448">
        <v>1</v>
      </c>
      <c r="Q448" s="3">
        <v>0.45</v>
      </c>
      <c r="R448" s="2">
        <v>-6.9450000000000003</v>
      </c>
      <c r="S448" s="2">
        <v>0.44</v>
      </c>
      <c r="T448" t="s">
        <v>33</v>
      </c>
      <c r="U448">
        <v>2012</v>
      </c>
    </row>
    <row r="449" spans="1:21" x14ac:dyDescent="0.3">
      <c r="A449" t="s">
        <v>2023</v>
      </c>
      <c r="B449" s="1">
        <v>41311</v>
      </c>
      <c r="C449" s="1">
        <v>41315</v>
      </c>
      <c r="D449" t="s">
        <v>22</v>
      </c>
      <c r="E449" t="s">
        <v>1870</v>
      </c>
      <c r="F449" t="s">
        <v>54</v>
      </c>
      <c r="G449" t="s">
        <v>315</v>
      </c>
      <c r="H449" t="s">
        <v>316</v>
      </c>
      <c r="I449" t="s">
        <v>27</v>
      </c>
      <c r="J449" t="s">
        <v>212</v>
      </c>
      <c r="K449" t="s">
        <v>2024</v>
      </c>
      <c r="L449" t="s">
        <v>146</v>
      </c>
      <c r="M449" t="s">
        <v>271</v>
      </c>
      <c r="N449" t="s">
        <v>985</v>
      </c>
      <c r="O449" s="2">
        <v>199</v>
      </c>
      <c r="P449">
        <v>4</v>
      </c>
      <c r="Q449" s="3">
        <v>0.1</v>
      </c>
      <c r="R449" s="2">
        <v>2.1</v>
      </c>
      <c r="S449" s="2">
        <v>25.54</v>
      </c>
      <c r="T449" t="s">
        <v>99</v>
      </c>
      <c r="U449">
        <v>2013</v>
      </c>
    </row>
    <row r="450" spans="1:21" x14ac:dyDescent="0.3">
      <c r="A450" t="s">
        <v>2025</v>
      </c>
      <c r="B450" s="1">
        <v>40718</v>
      </c>
      <c r="C450" s="1">
        <v>40723</v>
      </c>
      <c r="D450" t="s">
        <v>45</v>
      </c>
      <c r="E450" t="s">
        <v>1383</v>
      </c>
      <c r="F450" t="s">
        <v>54</v>
      </c>
      <c r="G450" t="s">
        <v>579</v>
      </c>
      <c r="H450" t="s">
        <v>580</v>
      </c>
      <c r="I450" t="s">
        <v>39</v>
      </c>
      <c r="J450" t="s">
        <v>40</v>
      </c>
      <c r="K450" t="s">
        <v>2026</v>
      </c>
      <c r="L450" t="s">
        <v>30</v>
      </c>
      <c r="M450" t="s">
        <v>75</v>
      </c>
      <c r="N450" t="s">
        <v>2027</v>
      </c>
      <c r="O450" s="2">
        <v>9</v>
      </c>
      <c r="P450">
        <v>2</v>
      </c>
      <c r="Q450" s="3">
        <v>0.4</v>
      </c>
      <c r="R450" s="2">
        <v>-3.008</v>
      </c>
      <c r="S450" s="2">
        <v>0.64</v>
      </c>
      <c r="T450" t="s">
        <v>33</v>
      </c>
      <c r="U450">
        <v>2011</v>
      </c>
    </row>
    <row r="451" spans="1:21" x14ac:dyDescent="0.3">
      <c r="A451" t="s">
        <v>2028</v>
      </c>
      <c r="B451" s="1">
        <v>41796</v>
      </c>
      <c r="C451" s="1">
        <v>41796</v>
      </c>
      <c r="D451" t="s">
        <v>232</v>
      </c>
      <c r="E451" t="s">
        <v>487</v>
      </c>
      <c r="F451" t="s">
        <v>54</v>
      </c>
      <c r="G451" t="s">
        <v>1044</v>
      </c>
      <c r="H451" t="s">
        <v>844</v>
      </c>
      <c r="I451" t="s">
        <v>39</v>
      </c>
      <c r="J451" t="s">
        <v>57</v>
      </c>
      <c r="K451" t="s">
        <v>2029</v>
      </c>
      <c r="L451" t="s">
        <v>30</v>
      </c>
      <c r="M451" t="s">
        <v>31</v>
      </c>
      <c r="N451" t="s">
        <v>2030</v>
      </c>
      <c r="O451" s="2">
        <v>6</v>
      </c>
      <c r="P451">
        <v>2</v>
      </c>
      <c r="Q451" s="3">
        <v>0</v>
      </c>
      <c r="R451" s="2">
        <v>2.44</v>
      </c>
      <c r="S451" s="2">
        <v>1.02</v>
      </c>
      <c r="T451" t="s">
        <v>99</v>
      </c>
      <c r="U451">
        <v>2014</v>
      </c>
    </row>
    <row r="452" spans="1:21" x14ac:dyDescent="0.3">
      <c r="A452" t="s">
        <v>2031</v>
      </c>
      <c r="B452" s="1">
        <v>41492</v>
      </c>
      <c r="C452" s="1">
        <v>41496</v>
      </c>
      <c r="D452" t="s">
        <v>22</v>
      </c>
      <c r="E452" t="s">
        <v>862</v>
      </c>
      <c r="F452" t="s">
        <v>54</v>
      </c>
      <c r="G452" t="s">
        <v>927</v>
      </c>
      <c r="H452" t="s">
        <v>72</v>
      </c>
      <c r="I452" t="s">
        <v>27</v>
      </c>
      <c r="J452" t="s">
        <v>73</v>
      </c>
      <c r="K452" t="s">
        <v>2032</v>
      </c>
      <c r="L452" t="s">
        <v>30</v>
      </c>
      <c r="M452" t="s">
        <v>370</v>
      </c>
      <c r="N452" t="s">
        <v>2033</v>
      </c>
      <c r="O452" s="2">
        <v>171</v>
      </c>
      <c r="P452">
        <v>4</v>
      </c>
      <c r="Q452" s="3">
        <v>0</v>
      </c>
      <c r="R452" s="2">
        <v>32.4</v>
      </c>
      <c r="S452" s="2">
        <v>13.54</v>
      </c>
      <c r="T452" t="s">
        <v>33</v>
      </c>
      <c r="U452">
        <v>2013</v>
      </c>
    </row>
    <row r="453" spans="1:21" x14ac:dyDescent="0.3">
      <c r="A453" t="s">
        <v>2034</v>
      </c>
      <c r="B453" s="1">
        <v>41086</v>
      </c>
      <c r="C453" s="1">
        <v>41090</v>
      </c>
      <c r="D453" t="s">
        <v>22</v>
      </c>
      <c r="E453" t="s">
        <v>2035</v>
      </c>
      <c r="F453" t="s">
        <v>54</v>
      </c>
      <c r="G453" t="s">
        <v>893</v>
      </c>
      <c r="H453" t="s">
        <v>894</v>
      </c>
      <c r="I453" t="s">
        <v>117</v>
      </c>
      <c r="J453" t="s">
        <v>117</v>
      </c>
      <c r="K453" t="s">
        <v>2036</v>
      </c>
      <c r="L453" t="s">
        <v>30</v>
      </c>
      <c r="M453" t="s">
        <v>90</v>
      </c>
      <c r="N453" t="s">
        <v>933</v>
      </c>
      <c r="O453" s="2">
        <v>116</v>
      </c>
      <c r="P453">
        <v>4</v>
      </c>
      <c r="Q453" s="3">
        <v>0</v>
      </c>
      <c r="R453" s="2">
        <v>12.72</v>
      </c>
      <c r="S453" s="2">
        <v>2.17</v>
      </c>
      <c r="T453" t="s">
        <v>99</v>
      </c>
      <c r="U453">
        <v>2012</v>
      </c>
    </row>
    <row r="454" spans="1:21" x14ac:dyDescent="0.3">
      <c r="A454" t="s">
        <v>2037</v>
      </c>
      <c r="B454" s="1">
        <v>41087</v>
      </c>
      <c r="C454" s="1">
        <v>41092</v>
      </c>
      <c r="D454" t="s">
        <v>45</v>
      </c>
      <c r="E454" t="s">
        <v>2038</v>
      </c>
      <c r="F454" t="s">
        <v>24</v>
      </c>
      <c r="G454" t="s">
        <v>2039</v>
      </c>
      <c r="H454" t="s">
        <v>316</v>
      </c>
      <c r="I454" t="s">
        <v>27</v>
      </c>
      <c r="J454" t="s">
        <v>212</v>
      </c>
      <c r="K454" t="s">
        <v>2040</v>
      </c>
      <c r="L454" t="s">
        <v>146</v>
      </c>
      <c r="M454" t="s">
        <v>147</v>
      </c>
      <c r="N454" t="s">
        <v>1240</v>
      </c>
      <c r="O454" s="2">
        <v>578</v>
      </c>
      <c r="P454">
        <v>1</v>
      </c>
      <c r="Q454" s="3">
        <v>0.1</v>
      </c>
      <c r="R454" s="2">
        <v>32.121000000000002</v>
      </c>
      <c r="S454" s="2">
        <v>73.319999999999993</v>
      </c>
      <c r="T454" t="s">
        <v>33</v>
      </c>
      <c r="U454">
        <v>2012</v>
      </c>
    </row>
    <row r="455" spans="1:21" x14ac:dyDescent="0.3">
      <c r="A455" t="s">
        <v>2041</v>
      </c>
      <c r="B455" s="1">
        <v>41949</v>
      </c>
      <c r="C455" s="1">
        <v>41954</v>
      </c>
      <c r="D455" t="s">
        <v>22</v>
      </c>
      <c r="E455" t="s">
        <v>1540</v>
      </c>
      <c r="F455" t="s">
        <v>24</v>
      </c>
      <c r="G455" t="s">
        <v>1504</v>
      </c>
      <c r="H455" t="s">
        <v>48</v>
      </c>
      <c r="I455" t="s">
        <v>49</v>
      </c>
      <c r="J455" t="s">
        <v>40</v>
      </c>
      <c r="K455" t="s">
        <v>2042</v>
      </c>
      <c r="L455" t="s">
        <v>30</v>
      </c>
      <c r="M455" t="s">
        <v>410</v>
      </c>
      <c r="N455" t="s">
        <v>2043</v>
      </c>
      <c r="O455" s="2">
        <v>81</v>
      </c>
      <c r="P455">
        <v>5</v>
      </c>
      <c r="Q455" s="3">
        <v>0</v>
      </c>
      <c r="R455" s="2">
        <v>35.4</v>
      </c>
      <c r="S455" s="2">
        <v>3.9</v>
      </c>
      <c r="T455" t="s">
        <v>33</v>
      </c>
      <c r="U455">
        <v>2014</v>
      </c>
    </row>
    <row r="456" spans="1:21" x14ac:dyDescent="0.3">
      <c r="A456" t="s">
        <v>2044</v>
      </c>
      <c r="B456" s="1">
        <v>41450</v>
      </c>
      <c r="C456" s="1">
        <v>41455</v>
      </c>
      <c r="D456" t="s">
        <v>22</v>
      </c>
      <c r="E456" t="s">
        <v>133</v>
      </c>
      <c r="F456" t="s">
        <v>36</v>
      </c>
      <c r="G456" t="s">
        <v>1176</v>
      </c>
      <c r="H456" t="s">
        <v>1177</v>
      </c>
      <c r="I456" t="s">
        <v>27</v>
      </c>
      <c r="J456" t="s">
        <v>28</v>
      </c>
      <c r="K456" t="s">
        <v>2045</v>
      </c>
      <c r="L456" t="s">
        <v>59</v>
      </c>
      <c r="M456" t="s">
        <v>139</v>
      </c>
      <c r="N456" t="s">
        <v>2046</v>
      </c>
      <c r="O456" s="2">
        <v>134</v>
      </c>
      <c r="P456">
        <v>2</v>
      </c>
      <c r="Q456" s="3">
        <v>0.27</v>
      </c>
      <c r="R456" s="2">
        <v>-38.543399999999998</v>
      </c>
      <c r="S456" s="2">
        <v>3.05</v>
      </c>
      <c r="T456" t="s">
        <v>33</v>
      </c>
      <c r="U456">
        <v>2013</v>
      </c>
    </row>
    <row r="457" spans="1:21" x14ac:dyDescent="0.3">
      <c r="A457" t="s">
        <v>2047</v>
      </c>
      <c r="B457" s="1">
        <v>41815</v>
      </c>
      <c r="C457" s="1">
        <v>41817</v>
      </c>
      <c r="D457" t="s">
        <v>45</v>
      </c>
      <c r="E457" t="s">
        <v>1847</v>
      </c>
      <c r="F457" t="s">
        <v>24</v>
      </c>
      <c r="G457" t="s">
        <v>2048</v>
      </c>
      <c r="H457" t="s">
        <v>87</v>
      </c>
      <c r="I457" t="s">
        <v>88</v>
      </c>
      <c r="J457" t="s">
        <v>88</v>
      </c>
      <c r="K457" t="s">
        <v>2049</v>
      </c>
      <c r="L457" t="s">
        <v>30</v>
      </c>
      <c r="M457" t="s">
        <v>90</v>
      </c>
      <c r="N457" t="s">
        <v>2050</v>
      </c>
      <c r="O457" s="2">
        <v>6</v>
      </c>
      <c r="P457">
        <v>1</v>
      </c>
      <c r="Q457" s="3">
        <v>0.6</v>
      </c>
      <c r="R457" s="2">
        <v>-8.9819999999999993</v>
      </c>
      <c r="S457" s="2">
        <v>0.78</v>
      </c>
      <c r="T457" t="s">
        <v>99</v>
      </c>
      <c r="U457">
        <v>2014</v>
      </c>
    </row>
    <row r="458" spans="1:21" x14ac:dyDescent="0.3">
      <c r="A458" t="s">
        <v>2051</v>
      </c>
      <c r="B458" s="1">
        <v>41814</v>
      </c>
      <c r="C458" s="1">
        <v>41817</v>
      </c>
      <c r="D458" t="s">
        <v>45</v>
      </c>
      <c r="E458" t="s">
        <v>2052</v>
      </c>
      <c r="F458" t="s">
        <v>54</v>
      </c>
      <c r="G458" t="s">
        <v>2053</v>
      </c>
      <c r="H458" t="s">
        <v>408</v>
      </c>
      <c r="I458" t="s">
        <v>39</v>
      </c>
      <c r="J458" t="s">
        <v>40</v>
      </c>
      <c r="K458" t="s">
        <v>2054</v>
      </c>
      <c r="L458" t="s">
        <v>146</v>
      </c>
      <c r="M458" t="s">
        <v>347</v>
      </c>
      <c r="N458" t="s">
        <v>2055</v>
      </c>
      <c r="O458" s="2">
        <v>248</v>
      </c>
      <c r="P458">
        <v>5</v>
      </c>
      <c r="Q458" s="3">
        <v>0.40200000000000002</v>
      </c>
      <c r="R458" s="2">
        <v>15.651400000000001</v>
      </c>
      <c r="S458" s="2">
        <v>21.67</v>
      </c>
      <c r="T458" t="s">
        <v>68</v>
      </c>
      <c r="U458">
        <v>2014</v>
      </c>
    </row>
    <row r="459" spans="1:21" x14ac:dyDescent="0.3">
      <c r="A459" t="s">
        <v>2056</v>
      </c>
      <c r="B459" s="1">
        <v>41817</v>
      </c>
      <c r="C459" s="1">
        <v>41818</v>
      </c>
      <c r="D459" t="s">
        <v>84</v>
      </c>
      <c r="E459" t="s">
        <v>2057</v>
      </c>
      <c r="F459" t="s">
        <v>36</v>
      </c>
      <c r="G459" t="s">
        <v>127</v>
      </c>
      <c r="H459" t="s">
        <v>128</v>
      </c>
      <c r="I459" t="s">
        <v>49</v>
      </c>
      <c r="J459" t="s">
        <v>129</v>
      </c>
      <c r="K459" t="s">
        <v>2058</v>
      </c>
      <c r="L459" t="s">
        <v>59</v>
      </c>
      <c r="M459" t="s">
        <v>339</v>
      </c>
      <c r="N459" t="s">
        <v>2059</v>
      </c>
      <c r="O459" s="2">
        <v>1314</v>
      </c>
      <c r="P459">
        <v>3</v>
      </c>
      <c r="Q459" s="3">
        <v>0</v>
      </c>
      <c r="R459" s="2">
        <v>341.73</v>
      </c>
      <c r="S459" s="2">
        <v>277.29000000000002</v>
      </c>
      <c r="T459" t="s">
        <v>33</v>
      </c>
      <c r="U459">
        <v>2014</v>
      </c>
    </row>
    <row r="460" spans="1:21" x14ac:dyDescent="0.3">
      <c r="A460" t="s">
        <v>2060</v>
      </c>
      <c r="B460" s="1">
        <v>41979</v>
      </c>
      <c r="C460" s="1">
        <v>41985</v>
      </c>
      <c r="D460" t="s">
        <v>22</v>
      </c>
      <c r="E460" t="s">
        <v>815</v>
      </c>
      <c r="F460" t="s">
        <v>24</v>
      </c>
      <c r="G460" t="s">
        <v>1435</v>
      </c>
      <c r="H460" t="s">
        <v>564</v>
      </c>
      <c r="I460" t="s">
        <v>49</v>
      </c>
      <c r="J460" t="s">
        <v>57</v>
      </c>
      <c r="K460" t="s">
        <v>2061</v>
      </c>
      <c r="L460" t="s">
        <v>30</v>
      </c>
      <c r="M460" t="s">
        <v>75</v>
      </c>
      <c r="N460" t="s">
        <v>82</v>
      </c>
      <c r="O460" s="2">
        <v>41</v>
      </c>
      <c r="P460">
        <v>9</v>
      </c>
      <c r="Q460" s="3">
        <v>0.5</v>
      </c>
      <c r="R460" s="2">
        <v>-0.13500000000000001</v>
      </c>
      <c r="S460" s="2">
        <v>1.38</v>
      </c>
      <c r="T460" t="s">
        <v>33</v>
      </c>
      <c r="U460">
        <v>2014</v>
      </c>
    </row>
    <row r="461" spans="1:21" x14ac:dyDescent="0.3">
      <c r="A461" t="s">
        <v>2062</v>
      </c>
      <c r="B461" s="1">
        <v>41819</v>
      </c>
      <c r="C461" s="1">
        <v>41823</v>
      </c>
      <c r="D461" t="s">
        <v>22</v>
      </c>
      <c r="E461" t="s">
        <v>2063</v>
      </c>
      <c r="F461" t="s">
        <v>54</v>
      </c>
      <c r="G461" t="s">
        <v>127</v>
      </c>
      <c r="H461" t="s">
        <v>128</v>
      </c>
      <c r="I461" t="s">
        <v>49</v>
      </c>
      <c r="J461" t="s">
        <v>129</v>
      </c>
      <c r="K461" t="s">
        <v>2064</v>
      </c>
      <c r="L461" t="s">
        <v>146</v>
      </c>
      <c r="M461" t="s">
        <v>147</v>
      </c>
      <c r="N461" t="s">
        <v>2065</v>
      </c>
      <c r="O461" s="2">
        <v>67</v>
      </c>
      <c r="P461">
        <v>1</v>
      </c>
      <c r="Q461" s="3">
        <v>0</v>
      </c>
      <c r="R461" s="2">
        <v>29.28</v>
      </c>
      <c r="S461" s="2">
        <v>0.19</v>
      </c>
      <c r="T461" t="s">
        <v>33</v>
      </c>
      <c r="U461">
        <v>2014</v>
      </c>
    </row>
    <row r="462" spans="1:21" x14ac:dyDescent="0.3">
      <c r="A462" t="s">
        <v>2066</v>
      </c>
      <c r="B462" s="1">
        <v>41443</v>
      </c>
      <c r="C462" s="1">
        <v>41449</v>
      </c>
      <c r="D462" t="s">
        <v>22</v>
      </c>
      <c r="E462" t="s">
        <v>2067</v>
      </c>
      <c r="F462" t="s">
        <v>36</v>
      </c>
      <c r="G462" t="s">
        <v>880</v>
      </c>
      <c r="H462" t="s">
        <v>211</v>
      </c>
      <c r="I462" t="s">
        <v>27</v>
      </c>
      <c r="J462" t="s">
        <v>212</v>
      </c>
      <c r="K462" t="s">
        <v>2068</v>
      </c>
      <c r="L462" t="s">
        <v>30</v>
      </c>
      <c r="M462" t="s">
        <v>90</v>
      </c>
      <c r="N462" t="s">
        <v>2069</v>
      </c>
      <c r="O462" s="2">
        <v>23</v>
      </c>
      <c r="P462">
        <v>2</v>
      </c>
      <c r="Q462" s="3">
        <v>0.4</v>
      </c>
      <c r="R462" s="2">
        <v>3.7559999999999998</v>
      </c>
      <c r="S462" s="2">
        <v>1.75</v>
      </c>
      <c r="T462" t="s">
        <v>33</v>
      </c>
      <c r="U462">
        <v>2013</v>
      </c>
    </row>
    <row r="463" spans="1:21" x14ac:dyDescent="0.3">
      <c r="A463" t="s">
        <v>2070</v>
      </c>
      <c r="B463" s="1">
        <v>41446</v>
      </c>
      <c r="C463" s="1">
        <v>41451</v>
      </c>
      <c r="D463" t="s">
        <v>22</v>
      </c>
      <c r="E463" t="s">
        <v>2071</v>
      </c>
      <c r="F463" t="s">
        <v>24</v>
      </c>
      <c r="G463" t="s">
        <v>2072</v>
      </c>
      <c r="H463" t="s">
        <v>135</v>
      </c>
      <c r="I463" t="s">
        <v>136</v>
      </c>
      <c r="J463" t="s">
        <v>57</v>
      </c>
      <c r="K463" t="s">
        <v>2073</v>
      </c>
      <c r="L463" t="s">
        <v>146</v>
      </c>
      <c r="M463" t="s">
        <v>271</v>
      </c>
      <c r="N463" t="s">
        <v>2074</v>
      </c>
      <c r="O463" s="2">
        <v>7</v>
      </c>
      <c r="P463">
        <v>1</v>
      </c>
      <c r="Q463" s="3">
        <v>0</v>
      </c>
      <c r="R463" s="2">
        <v>0.55200000000000005</v>
      </c>
      <c r="S463" s="2">
        <v>0.42</v>
      </c>
      <c r="T463" t="s">
        <v>99</v>
      </c>
      <c r="U463">
        <v>2013</v>
      </c>
    </row>
    <row r="464" spans="1:21" x14ac:dyDescent="0.3">
      <c r="A464" t="s">
        <v>2075</v>
      </c>
      <c r="B464" s="1">
        <v>41450</v>
      </c>
      <c r="C464" s="1">
        <v>41456</v>
      </c>
      <c r="D464" t="s">
        <v>22</v>
      </c>
      <c r="E464" t="s">
        <v>462</v>
      </c>
      <c r="F464" t="s">
        <v>54</v>
      </c>
      <c r="G464" t="s">
        <v>1270</v>
      </c>
      <c r="H464" t="s">
        <v>1147</v>
      </c>
      <c r="I464" t="s">
        <v>39</v>
      </c>
      <c r="J464" t="s">
        <v>129</v>
      </c>
      <c r="K464" t="s">
        <v>2076</v>
      </c>
      <c r="L464" t="s">
        <v>30</v>
      </c>
      <c r="M464" t="s">
        <v>66</v>
      </c>
      <c r="N464" t="s">
        <v>2077</v>
      </c>
      <c r="O464" s="2">
        <v>264</v>
      </c>
      <c r="P464">
        <v>2</v>
      </c>
      <c r="Q464" s="3">
        <v>0</v>
      </c>
      <c r="R464" s="2">
        <v>5.24</v>
      </c>
      <c r="S464" s="2">
        <v>16.440000000000001</v>
      </c>
      <c r="T464" t="s">
        <v>33</v>
      </c>
      <c r="U464">
        <v>2013</v>
      </c>
    </row>
    <row r="465" spans="1:21" x14ac:dyDescent="0.3">
      <c r="A465" t="s">
        <v>2078</v>
      </c>
      <c r="B465" s="1">
        <v>41439</v>
      </c>
      <c r="C465" s="1">
        <v>41439</v>
      </c>
      <c r="D465" t="s">
        <v>232</v>
      </c>
      <c r="E465" t="s">
        <v>2079</v>
      </c>
      <c r="F465" t="s">
        <v>36</v>
      </c>
      <c r="G465" t="s">
        <v>86</v>
      </c>
      <c r="H465" t="s">
        <v>87</v>
      </c>
      <c r="I465" t="s">
        <v>88</v>
      </c>
      <c r="J465" t="s">
        <v>88</v>
      </c>
      <c r="K465" t="s">
        <v>2080</v>
      </c>
      <c r="L465" t="s">
        <v>146</v>
      </c>
      <c r="M465" t="s">
        <v>195</v>
      </c>
      <c r="N465" t="s">
        <v>2081</v>
      </c>
      <c r="O465" s="2">
        <v>49</v>
      </c>
      <c r="P465">
        <v>1</v>
      </c>
      <c r="Q465" s="3">
        <v>0.6</v>
      </c>
      <c r="R465" s="2">
        <v>-68.897999999999996</v>
      </c>
      <c r="S465" s="2">
        <v>0.65</v>
      </c>
      <c r="T465" t="s">
        <v>33</v>
      </c>
      <c r="U465">
        <v>2013</v>
      </c>
    </row>
    <row r="466" spans="1:21" x14ac:dyDescent="0.3">
      <c r="A466" t="s">
        <v>2082</v>
      </c>
      <c r="B466" s="1">
        <v>41311</v>
      </c>
      <c r="C466" s="1">
        <v>41315</v>
      </c>
      <c r="D466" t="s">
        <v>22</v>
      </c>
      <c r="E466" t="s">
        <v>1690</v>
      </c>
      <c r="F466" t="s">
        <v>54</v>
      </c>
      <c r="G466" t="s">
        <v>2083</v>
      </c>
      <c r="H466" t="s">
        <v>894</v>
      </c>
      <c r="I466" t="s">
        <v>117</v>
      </c>
      <c r="J466" t="s">
        <v>117</v>
      </c>
      <c r="K466" t="s">
        <v>2084</v>
      </c>
      <c r="L466" t="s">
        <v>30</v>
      </c>
      <c r="M466" t="s">
        <v>31</v>
      </c>
      <c r="N466" t="s">
        <v>2085</v>
      </c>
      <c r="O466" s="2">
        <v>15</v>
      </c>
      <c r="P466">
        <v>2</v>
      </c>
      <c r="Q466" s="3">
        <v>0</v>
      </c>
      <c r="R466" s="2">
        <v>4.5</v>
      </c>
      <c r="S466" s="2">
        <v>1.7</v>
      </c>
      <c r="T466" t="s">
        <v>99</v>
      </c>
      <c r="U466">
        <v>2013</v>
      </c>
    </row>
    <row r="467" spans="1:21" x14ac:dyDescent="0.3">
      <c r="A467" t="s">
        <v>2086</v>
      </c>
      <c r="B467" s="1">
        <v>41370</v>
      </c>
      <c r="C467" s="1">
        <v>41374</v>
      </c>
      <c r="D467" t="s">
        <v>45</v>
      </c>
      <c r="E467" t="s">
        <v>2087</v>
      </c>
      <c r="F467" t="s">
        <v>54</v>
      </c>
      <c r="G467" t="s">
        <v>337</v>
      </c>
      <c r="H467" t="s">
        <v>316</v>
      </c>
      <c r="I467" t="s">
        <v>27</v>
      </c>
      <c r="J467" t="s">
        <v>212</v>
      </c>
      <c r="K467" t="s">
        <v>2088</v>
      </c>
      <c r="L467" t="s">
        <v>59</v>
      </c>
      <c r="M467" t="s">
        <v>139</v>
      </c>
      <c r="N467" t="s">
        <v>2089</v>
      </c>
      <c r="O467" s="2">
        <v>657</v>
      </c>
      <c r="P467">
        <v>4</v>
      </c>
      <c r="Q467" s="3">
        <v>0.1</v>
      </c>
      <c r="R467" s="2">
        <v>-29.244</v>
      </c>
      <c r="S467" s="2">
        <v>77.94</v>
      </c>
      <c r="T467" t="s">
        <v>99</v>
      </c>
      <c r="U467">
        <v>2013</v>
      </c>
    </row>
    <row r="468" spans="1:21" x14ac:dyDescent="0.3">
      <c r="A468" t="s">
        <v>2090</v>
      </c>
      <c r="B468" s="1">
        <v>40712</v>
      </c>
      <c r="C468" s="1">
        <v>40714</v>
      </c>
      <c r="D468" t="s">
        <v>45</v>
      </c>
      <c r="E468" t="s">
        <v>751</v>
      </c>
      <c r="F468" t="s">
        <v>54</v>
      </c>
      <c r="G468" t="s">
        <v>2091</v>
      </c>
      <c r="H468" t="s">
        <v>224</v>
      </c>
      <c r="I468" t="s">
        <v>49</v>
      </c>
      <c r="J468" t="s">
        <v>40</v>
      </c>
      <c r="K468" t="s">
        <v>2092</v>
      </c>
      <c r="L468" t="s">
        <v>30</v>
      </c>
      <c r="M468" t="s">
        <v>66</v>
      </c>
      <c r="N468" t="s">
        <v>2093</v>
      </c>
      <c r="O468" s="2">
        <v>29</v>
      </c>
      <c r="P468">
        <v>2</v>
      </c>
      <c r="Q468" s="3">
        <v>0.1</v>
      </c>
      <c r="R468" s="2">
        <v>-0.03</v>
      </c>
      <c r="S468" s="2">
        <v>2.4</v>
      </c>
      <c r="T468" t="s">
        <v>99</v>
      </c>
      <c r="U468">
        <v>2011</v>
      </c>
    </row>
    <row r="469" spans="1:21" x14ac:dyDescent="0.3">
      <c r="A469" t="s">
        <v>2094</v>
      </c>
      <c r="B469" s="1">
        <v>41444</v>
      </c>
      <c r="C469" s="1">
        <v>41449</v>
      </c>
      <c r="D469" t="s">
        <v>45</v>
      </c>
      <c r="E469" t="s">
        <v>2095</v>
      </c>
      <c r="F469" t="s">
        <v>24</v>
      </c>
      <c r="G469" t="s">
        <v>2096</v>
      </c>
      <c r="H469" t="s">
        <v>316</v>
      </c>
      <c r="I469" t="s">
        <v>27</v>
      </c>
      <c r="J469" t="s">
        <v>212</v>
      </c>
      <c r="K469" t="s">
        <v>2097</v>
      </c>
      <c r="L469" t="s">
        <v>30</v>
      </c>
      <c r="M469" t="s">
        <v>410</v>
      </c>
      <c r="N469" t="s">
        <v>2043</v>
      </c>
      <c r="O469" s="2">
        <v>44</v>
      </c>
      <c r="P469">
        <v>3</v>
      </c>
      <c r="Q469" s="3">
        <v>0.1</v>
      </c>
      <c r="R469" s="2">
        <v>11.087999999999999</v>
      </c>
      <c r="S469" s="2">
        <v>1.92</v>
      </c>
      <c r="T469" t="s">
        <v>33</v>
      </c>
      <c r="U469">
        <v>2013</v>
      </c>
    </row>
    <row r="470" spans="1:21" x14ac:dyDescent="0.3">
      <c r="A470" t="s">
        <v>2098</v>
      </c>
      <c r="B470" s="1">
        <v>41807</v>
      </c>
      <c r="C470" s="1">
        <v>41812</v>
      </c>
      <c r="D470" t="s">
        <v>22</v>
      </c>
      <c r="E470" t="s">
        <v>2099</v>
      </c>
      <c r="F470" t="s">
        <v>54</v>
      </c>
      <c r="G470" t="s">
        <v>315</v>
      </c>
      <c r="H470" t="s">
        <v>316</v>
      </c>
      <c r="I470" t="s">
        <v>27</v>
      </c>
      <c r="J470" t="s">
        <v>212</v>
      </c>
      <c r="K470" t="s">
        <v>2100</v>
      </c>
      <c r="L470" t="s">
        <v>146</v>
      </c>
      <c r="M470" t="s">
        <v>347</v>
      </c>
      <c r="N470" t="s">
        <v>2101</v>
      </c>
      <c r="O470" s="2">
        <v>381</v>
      </c>
      <c r="P470">
        <v>3</v>
      </c>
      <c r="Q470" s="3">
        <v>0.1</v>
      </c>
      <c r="R470" s="2">
        <v>-29.681999999999999</v>
      </c>
      <c r="S470" s="2">
        <v>36.97</v>
      </c>
      <c r="T470" t="s">
        <v>99</v>
      </c>
      <c r="U470">
        <v>2014</v>
      </c>
    </row>
    <row r="471" spans="1:21" x14ac:dyDescent="0.3">
      <c r="A471" t="s">
        <v>2102</v>
      </c>
      <c r="B471" s="1">
        <v>41857</v>
      </c>
      <c r="C471" s="1">
        <v>41861</v>
      </c>
      <c r="D471" t="s">
        <v>22</v>
      </c>
      <c r="E471" t="s">
        <v>368</v>
      </c>
      <c r="F471" t="s">
        <v>54</v>
      </c>
      <c r="G471" t="s">
        <v>2103</v>
      </c>
      <c r="H471" t="s">
        <v>2104</v>
      </c>
      <c r="I471" t="s">
        <v>88</v>
      </c>
      <c r="J471" t="s">
        <v>88</v>
      </c>
      <c r="K471" t="s">
        <v>2105</v>
      </c>
      <c r="L471" t="s">
        <v>30</v>
      </c>
      <c r="M471" t="s">
        <v>410</v>
      </c>
      <c r="N471" t="s">
        <v>2106</v>
      </c>
      <c r="O471" s="2">
        <v>34</v>
      </c>
      <c r="P471">
        <v>2</v>
      </c>
      <c r="Q471" s="3">
        <v>0</v>
      </c>
      <c r="R471" s="2">
        <v>8.52</v>
      </c>
      <c r="S471" s="2">
        <v>2.0299999999999998</v>
      </c>
      <c r="T471" t="s">
        <v>33</v>
      </c>
      <c r="U471">
        <v>2014</v>
      </c>
    </row>
    <row r="472" spans="1:21" x14ac:dyDescent="0.3">
      <c r="A472" t="s">
        <v>2107</v>
      </c>
      <c r="B472" s="1">
        <v>41086</v>
      </c>
      <c r="C472" s="1">
        <v>41090</v>
      </c>
      <c r="D472" t="s">
        <v>22</v>
      </c>
      <c r="E472" t="s">
        <v>364</v>
      </c>
      <c r="F472" t="s">
        <v>36</v>
      </c>
      <c r="G472" t="s">
        <v>2108</v>
      </c>
      <c r="H472" t="s">
        <v>1147</v>
      </c>
      <c r="I472" t="s">
        <v>39</v>
      </c>
      <c r="J472" t="s">
        <v>129</v>
      </c>
      <c r="K472" t="s">
        <v>1054</v>
      </c>
      <c r="L472" t="s">
        <v>30</v>
      </c>
      <c r="M472" t="s">
        <v>31</v>
      </c>
      <c r="N472" t="s">
        <v>1055</v>
      </c>
      <c r="O472" s="2">
        <v>39</v>
      </c>
      <c r="P472">
        <v>2</v>
      </c>
      <c r="Q472" s="3">
        <v>0</v>
      </c>
      <c r="R472" s="2">
        <v>10.96</v>
      </c>
      <c r="S472" s="2">
        <v>3.03</v>
      </c>
      <c r="T472" t="s">
        <v>99</v>
      </c>
      <c r="U472">
        <v>2012</v>
      </c>
    </row>
    <row r="473" spans="1:21" x14ac:dyDescent="0.3">
      <c r="A473" t="s">
        <v>2109</v>
      </c>
      <c r="B473" s="1">
        <v>41076</v>
      </c>
      <c r="C473" s="1">
        <v>41079</v>
      </c>
      <c r="D473" t="s">
        <v>84</v>
      </c>
      <c r="E473" t="s">
        <v>2110</v>
      </c>
      <c r="F473" t="s">
        <v>54</v>
      </c>
      <c r="G473" t="s">
        <v>395</v>
      </c>
      <c r="H473" t="s">
        <v>135</v>
      </c>
      <c r="I473" t="s">
        <v>136</v>
      </c>
      <c r="J473" t="s">
        <v>396</v>
      </c>
      <c r="K473" t="s">
        <v>2111</v>
      </c>
      <c r="L473" t="s">
        <v>30</v>
      </c>
      <c r="M473" t="s">
        <v>31</v>
      </c>
      <c r="N473" t="s">
        <v>2112</v>
      </c>
      <c r="O473" s="2">
        <v>3050</v>
      </c>
      <c r="P473">
        <v>3</v>
      </c>
      <c r="Q473" s="3">
        <v>0.2</v>
      </c>
      <c r="R473" s="2">
        <v>1143.8910000000001</v>
      </c>
      <c r="S473" s="2">
        <v>632.04999999999995</v>
      </c>
      <c r="T473" t="s">
        <v>99</v>
      </c>
      <c r="U473">
        <v>2012</v>
      </c>
    </row>
    <row r="474" spans="1:21" x14ac:dyDescent="0.3">
      <c r="A474" t="s">
        <v>2113</v>
      </c>
      <c r="B474" s="1">
        <v>41449</v>
      </c>
      <c r="C474" s="1">
        <v>41455</v>
      </c>
      <c r="D474" t="s">
        <v>22</v>
      </c>
      <c r="E474" t="s">
        <v>2114</v>
      </c>
      <c r="F474" t="s">
        <v>54</v>
      </c>
      <c r="G474" t="s">
        <v>337</v>
      </c>
      <c r="H474" t="s">
        <v>316</v>
      </c>
      <c r="I474" t="s">
        <v>27</v>
      </c>
      <c r="J474" t="s">
        <v>212</v>
      </c>
      <c r="K474" t="s">
        <v>2115</v>
      </c>
      <c r="L474" t="s">
        <v>30</v>
      </c>
      <c r="M474" t="s">
        <v>75</v>
      </c>
      <c r="N474" t="s">
        <v>2116</v>
      </c>
      <c r="O474" s="2">
        <v>28</v>
      </c>
      <c r="P474">
        <v>3</v>
      </c>
      <c r="Q474" s="3">
        <v>0.1</v>
      </c>
      <c r="R474" s="2">
        <v>1.224</v>
      </c>
      <c r="S474" s="2">
        <v>1.65</v>
      </c>
      <c r="T474" t="s">
        <v>33</v>
      </c>
      <c r="U474">
        <v>2013</v>
      </c>
    </row>
    <row r="475" spans="1:21" x14ac:dyDescent="0.3">
      <c r="A475" t="s">
        <v>2117</v>
      </c>
      <c r="B475" s="1">
        <v>40715</v>
      </c>
      <c r="C475" s="1">
        <v>40718</v>
      </c>
      <c r="D475" t="s">
        <v>84</v>
      </c>
      <c r="E475" t="s">
        <v>2118</v>
      </c>
      <c r="F475" t="s">
        <v>54</v>
      </c>
      <c r="G475" t="s">
        <v>395</v>
      </c>
      <c r="H475" t="s">
        <v>135</v>
      </c>
      <c r="I475" t="s">
        <v>136</v>
      </c>
      <c r="J475" t="s">
        <v>396</v>
      </c>
      <c r="K475" t="s">
        <v>2119</v>
      </c>
      <c r="L475" t="s">
        <v>30</v>
      </c>
      <c r="M475" t="s">
        <v>42</v>
      </c>
      <c r="N475" t="s">
        <v>2120</v>
      </c>
      <c r="O475" s="2">
        <v>60</v>
      </c>
      <c r="P475">
        <v>3</v>
      </c>
      <c r="Q475" s="3">
        <v>0</v>
      </c>
      <c r="R475" s="2">
        <v>26.864999999999998</v>
      </c>
      <c r="S475" s="2">
        <v>3.07</v>
      </c>
      <c r="T475" t="s">
        <v>99</v>
      </c>
      <c r="U475">
        <v>2011</v>
      </c>
    </row>
    <row r="476" spans="1:21" x14ac:dyDescent="0.3">
      <c r="A476" t="s">
        <v>2121</v>
      </c>
      <c r="B476" s="1">
        <v>41584</v>
      </c>
      <c r="C476" s="1">
        <v>41589</v>
      </c>
      <c r="D476" t="s">
        <v>22</v>
      </c>
      <c r="E476" t="s">
        <v>2122</v>
      </c>
      <c r="F476" t="s">
        <v>36</v>
      </c>
      <c r="G476" t="s">
        <v>806</v>
      </c>
      <c r="H476" t="s">
        <v>135</v>
      </c>
      <c r="I476" t="s">
        <v>136</v>
      </c>
      <c r="J476" t="s">
        <v>57</v>
      </c>
      <c r="K476" t="s">
        <v>2123</v>
      </c>
      <c r="L476" t="s">
        <v>30</v>
      </c>
      <c r="M476" t="s">
        <v>75</v>
      </c>
      <c r="N476" t="s">
        <v>2124</v>
      </c>
      <c r="O476" s="2">
        <v>52</v>
      </c>
      <c r="P476">
        <v>5</v>
      </c>
      <c r="Q476" s="3">
        <v>0</v>
      </c>
      <c r="R476" s="2">
        <v>24.84</v>
      </c>
      <c r="S476" s="2">
        <v>4.47</v>
      </c>
      <c r="T476" t="s">
        <v>99</v>
      </c>
      <c r="U476">
        <v>2013</v>
      </c>
    </row>
    <row r="477" spans="1:21" x14ac:dyDescent="0.3">
      <c r="A477" t="s">
        <v>2125</v>
      </c>
      <c r="B477" s="1">
        <v>41442</v>
      </c>
      <c r="C477" s="1">
        <v>41444</v>
      </c>
      <c r="D477" t="s">
        <v>84</v>
      </c>
      <c r="E477" t="s">
        <v>240</v>
      </c>
      <c r="F477" t="s">
        <v>24</v>
      </c>
      <c r="G477" t="s">
        <v>2126</v>
      </c>
      <c r="H477" t="s">
        <v>1668</v>
      </c>
      <c r="I477" t="s">
        <v>117</v>
      </c>
      <c r="J477" t="s">
        <v>117</v>
      </c>
      <c r="K477" t="s">
        <v>2127</v>
      </c>
      <c r="L477" t="s">
        <v>30</v>
      </c>
      <c r="M477" t="s">
        <v>42</v>
      </c>
      <c r="N477" t="s">
        <v>2128</v>
      </c>
      <c r="O477" s="2">
        <v>567</v>
      </c>
      <c r="P477">
        <v>1</v>
      </c>
      <c r="Q477" s="3">
        <v>0</v>
      </c>
      <c r="R477" s="2">
        <v>28.32</v>
      </c>
      <c r="S477" s="2">
        <v>124.25</v>
      </c>
      <c r="T477" t="s">
        <v>99</v>
      </c>
      <c r="U477">
        <v>2013</v>
      </c>
    </row>
    <row r="478" spans="1:21" x14ac:dyDescent="0.3">
      <c r="A478" t="s">
        <v>2129</v>
      </c>
      <c r="B478" s="1">
        <v>41453</v>
      </c>
      <c r="C478" s="1">
        <v>41455</v>
      </c>
      <c r="D478" t="s">
        <v>45</v>
      </c>
      <c r="E478" t="s">
        <v>573</v>
      </c>
      <c r="F478" t="s">
        <v>54</v>
      </c>
      <c r="G478" t="s">
        <v>868</v>
      </c>
      <c r="H478" t="s">
        <v>869</v>
      </c>
      <c r="I478" t="s">
        <v>27</v>
      </c>
      <c r="J478" t="s">
        <v>28</v>
      </c>
      <c r="K478" t="s">
        <v>2130</v>
      </c>
      <c r="L478" t="s">
        <v>59</v>
      </c>
      <c r="M478" t="s">
        <v>60</v>
      </c>
      <c r="N478" t="s">
        <v>2131</v>
      </c>
      <c r="O478" s="2">
        <v>192</v>
      </c>
      <c r="P478">
        <v>6</v>
      </c>
      <c r="Q478" s="3">
        <v>0.27</v>
      </c>
      <c r="R478" s="2">
        <v>-52.741799999999998</v>
      </c>
      <c r="S478" s="2">
        <v>19.23</v>
      </c>
      <c r="T478" t="s">
        <v>68</v>
      </c>
      <c r="U478">
        <v>2013</v>
      </c>
    </row>
    <row r="479" spans="1:21" x14ac:dyDescent="0.3">
      <c r="A479" t="s">
        <v>2132</v>
      </c>
      <c r="B479" s="1">
        <v>40580</v>
      </c>
      <c r="C479" s="1">
        <v>40584</v>
      </c>
      <c r="D479" t="s">
        <v>45</v>
      </c>
      <c r="E479" t="s">
        <v>771</v>
      </c>
      <c r="F479" t="s">
        <v>54</v>
      </c>
      <c r="G479" t="s">
        <v>2133</v>
      </c>
      <c r="H479" t="s">
        <v>87</v>
      </c>
      <c r="I479" t="s">
        <v>88</v>
      </c>
      <c r="J479" t="s">
        <v>88</v>
      </c>
      <c r="K479" t="s">
        <v>2134</v>
      </c>
      <c r="L479" t="s">
        <v>30</v>
      </c>
      <c r="M479" t="s">
        <v>75</v>
      </c>
      <c r="N479" t="s">
        <v>2135</v>
      </c>
      <c r="O479" s="2">
        <v>3</v>
      </c>
      <c r="P479">
        <v>1</v>
      </c>
      <c r="Q479" s="3">
        <v>0.6</v>
      </c>
      <c r="R479" s="2">
        <v>-2.3519999999999999</v>
      </c>
      <c r="S479" s="2">
        <v>0.23</v>
      </c>
      <c r="T479" t="s">
        <v>33</v>
      </c>
      <c r="U479">
        <v>2011</v>
      </c>
    </row>
    <row r="480" spans="1:21" x14ac:dyDescent="0.3">
      <c r="A480" t="s">
        <v>2136</v>
      </c>
      <c r="B480" s="1">
        <v>41090</v>
      </c>
      <c r="C480" s="1">
        <v>41096</v>
      </c>
      <c r="D480" t="s">
        <v>22</v>
      </c>
      <c r="E480" t="s">
        <v>2137</v>
      </c>
      <c r="F480" t="s">
        <v>54</v>
      </c>
      <c r="G480" t="s">
        <v>2138</v>
      </c>
      <c r="H480" t="s">
        <v>110</v>
      </c>
      <c r="I480" t="s">
        <v>88</v>
      </c>
      <c r="J480" t="s">
        <v>88</v>
      </c>
      <c r="K480" t="s">
        <v>2139</v>
      </c>
      <c r="L480" t="s">
        <v>30</v>
      </c>
      <c r="M480" t="s">
        <v>42</v>
      </c>
      <c r="N480" t="s">
        <v>2140</v>
      </c>
      <c r="O480" s="2">
        <v>282</v>
      </c>
      <c r="P480">
        <v>1</v>
      </c>
      <c r="Q480" s="3">
        <v>0</v>
      </c>
      <c r="R480" s="2">
        <v>28.17</v>
      </c>
      <c r="S480" s="2">
        <v>23.62</v>
      </c>
      <c r="T480" t="s">
        <v>33</v>
      </c>
      <c r="U480">
        <v>2012</v>
      </c>
    </row>
    <row r="481" spans="1:21" x14ac:dyDescent="0.3">
      <c r="A481" t="s">
        <v>2141</v>
      </c>
      <c r="B481" s="1">
        <v>41400</v>
      </c>
      <c r="C481" s="1">
        <v>41403</v>
      </c>
      <c r="D481" t="s">
        <v>84</v>
      </c>
      <c r="E481" t="s">
        <v>2142</v>
      </c>
      <c r="F481" t="s">
        <v>54</v>
      </c>
      <c r="G481" t="s">
        <v>134</v>
      </c>
      <c r="H481" t="s">
        <v>135</v>
      </c>
      <c r="I481" t="s">
        <v>136</v>
      </c>
      <c r="J481" t="s">
        <v>137</v>
      </c>
      <c r="K481" t="s">
        <v>2143</v>
      </c>
      <c r="L481" t="s">
        <v>59</v>
      </c>
      <c r="M481" t="s">
        <v>329</v>
      </c>
      <c r="N481" t="s">
        <v>2144</v>
      </c>
      <c r="O481" s="2">
        <v>299</v>
      </c>
      <c r="P481">
        <v>3</v>
      </c>
      <c r="Q481" s="3">
        <v>0.2</v>
      </c>
      <c r="R481" s="2">
        <v>7.4694000000000003</v>
      </c>
      <c r="S481" s="2">
        <v>25.78</v>
      </c>
      <c r="T481" t="s">
        <v>99</v>
      </c>
      <c r="U481">
        <v>2013</v>
      </c>
    </row>
    <row r="482" spans="1:21" x14ac:dyDescent="0.3">
      <c r="A482" t="s">
        <v>2145</v>
      </c>
      <c r="B482" s="1">
        <v>41949</v>
      </c>
      <c r="C482" s="1">
        <v>41954</v>
      </c>
      <c r="D482" t="s">
        <v>22</v>
      </c>
      <c r="E482" t="s">
        <v>1328</v>
      </c>
      <c r="F482" t="s">
        <v>24</v>
      </c>
      <c r="G482" t="s">
        <v>2146</v>
      </c>
      <c r="H482" t="s">
        <v>152</v>
      </c>
      <c r="I482" t="s">
        <v>27</v>
      </c>
      <c r="J482" t="s">
        <v>153</v>
      </c>
      <c r="K482" t="s">
        <v>424</v>
      </c>
      <c r="L482" t="s">
        <v>146</v>
      </c>
      <c r="M482" t="s">
        <v>147</v>
      </c>
      <c r="N482" t="s">
        <v>425</v>
      </c>
      <c r="O482" s="2">
        <v>370</v>
      </c>
      <c r="P482">
        <v>3</v>
      </c>
      <c r="Q482" s="3">
        <v>0</v>
      </c>
      <c r="R482" s="2">
        <v>129.41999999999999</v>
      </c>
      <c r="S482" s="2">
        <v>20.62</v>
      </c>
      <c r="T482" t="s">
        <v>33</v>
      </c>
      <c r="U482">
        <v>2014</v>
      </c>
    </row>
    <row r="483" spans="1:21" x14ac:dyDescent="0.3">
      <c r="A483" t="s">
        <v>2147</v>
      </c>
      <c r="B483" s="1">
        <v>41807</v>
      </c>
      <c r="C483" s="1">
        <v>41812</v>
      </c>
      <c r="D483" t="s">
        <v>22</v>
      </c>
      <c r="E483" t="s">
        <v>2148</v>
      </c>
      <c r="F483" t="s">
        <v>54</v>
      </c>
      <c r="G483" t="s">
        <v>25</v>
      </c>
      <c r="H483" t="s">
        <v>26</v>
      </c>
      <c r="I483" t="s">
        <v>27</v>
      </c>
      <c r="J483" t="s">
        <v>28</v>
      </c>
      <c r="K483" t="s">
        <v>2149</v>
      </c>
      <c r="L483" t="s">
        <v>30</v>
      </c>
      <c r="M483" t="s">
        <v>410</v>
      </c>
      <c r="N483" t="s">
        <v>2150</v>
      </c>
      <c r="O483" s="2">
        <v>19</v>
      </c>
      <c r="P483">
        <v>4</v>
      </c>
      <c r="Q483" s="3">
        <v>0.47</v>
      </c>
      <c r="R483" s="2">
        <v>-16.2</v>
      </c>
      <c r="S483" s="2">
        <v>1.32</v>
      </c>
      <c r="T483" t="s">
        <v>33</v>
      </c>
      <c r="U483">
        <v>2014</v>
      </c>
    </row>
    <row r="484" spans="1:21" x14ac:dyDescent="0.3">
      <c r="A484" t="s">
        <v>2151</v>
      </c>
      <c r="B484" s="1">
        <v>41584</v>
      </c>
      <c r="C484" s="1">
        <v>41586</v>
      </c>
      <c r="D484" t="s">
        <v>45</v>
      </c>
      <c r="E484" t="s">
        <v>2152</v>
      </c>
      <c r="F484" t="s">
        <v>54</v>
      </c>
      <c r="G484" t="s">
        <v>134</v>
      </c>
      <c r="H484" t="s">
        <v>135</v>
      </c>
      <c r="I484" t="s">
        <v>136</v>
      </c>
      <c r="J484" t="s">
        <v>137</v>
      </c>
      <c r="K484" t="s">
        <v>2153</v>
      </c>
      <c r="L484" t="s">
        <v>59</v>
      </c>
      <c r="M484" t="s">
        <v>139</v>
      </c>
      <c r="N484" t="s">
        <v>2154</v>
      </c>
      <c r="O484" s="2">
        <v>114</v>
      </c>
      <c r="P484">
        <v>2</v>
      </c>
      <c r="Q484" s="3">
        <v>0.2</v>
      </c>
      <c r="R484" s="2">
        <v>9.9651999999999994</v>
      </c>
      <c r="S484" s="2">
        <v>11.83</v>
      </c>
      <c r="T484" t="s">
        <v>99</v>
      </c>
      <c r="U484">
        <v>2013</v>
      </c>
    </row>
    <row r="485" spans="1:21" x14ac:dyDescent="0.3">
      <c r="A485" t="s">
        <v>2155</v>
      </c>
      <c r="B485" s="1">
        <v>40716</v>
      </c>
      <c r="C485" s="1">
        <v>40721</v>
      </c>
      <c r="D485" t="s">
        <v>22</v>
      </c>
      <c r="E485" t="s">
        <v>1402</v>
      </c>
      <c r="F485" t="s">
        <v>54</v>
      </c>
      <c r="G485" t="s">
        <v>574</v>
      </c>
      <c r="H485" t="s">
        <v>135</v>
      </c>
      <c r="I485" t="s">
        <v>136</v>
      </c>
      <c r="J485" t="s">
        <v>396</v>
      </c>
      <c r="K485" t="s">
        <v>2156</v>
      </c>
      <c r="L485" t="s">
        <v>59</v>
      </c>
      <c r="M485" t="s">
        <v>139</v>
      </c>
      <c r="N485" t="s">
        <v>2157</v>
      </c>
      <c r="O485" s="2">
        <v>170</v>
      </c>
      <c r="P485">
        <v>3</v>
      </c>
      <c r="Q485" s="3">
        <v>0.3</v>
      </c>
      <c r="R485" s="2">
        <v>-4.8587999999999996</v>
      </c>
      <c r="S485" s="2">
        <v>19.059999999999999</v>
      </c>
      <c r="T485" t="s">
        <v>99</v>
      </c>
      <c r="U485">
        <v>2011</v>
      </c>
    </row>
    <row r="486" spans="1:21" x14ac:dyDescent="0.3">
      <c r="A486" t="s">
        <v>2158</v>
      </c>
      <c r="B486" s="1">
        <v>40714</v>
      </c>
      <c r="C486" s="1">
        <v>40714</v>
      </c>
      <c r="D486" t="s">
        <v>232</v>
      </c>
      <c r="E486" t="s">
        <v>2159</v>
      </c>
      <c r="F486" t="s">
        <v>54</v>
      </c>
      <c r="G486" t="s">
        <v>2160</v>
      </c>
      <c r="H486" t="s">
        <v>2161</v>
      </c>
      <c r="I486" t="s">
        <v>117</v>
      </c>
      <c r="J486" t="s">
        <v>117</v>
      </c>
      <c r="K486" t="s">
        <v>2162</v>
      </c>
      <c r="L486" t="s">
        <v>59</v>
      </c>
      <c r="M486" t="s">
        <v>60</v>
      </c>
      <c r="N486" t="s">
        <v>2163</v>
      </c>
      <c r="O486" s="2">
        <v>196</v>
      </c>
      <c r="P486">
        <v>4</v>
      </c>
      <c r="Q486" s="3">
        <v>0</v>
      </c>
      <c r="R486" s="2">
        <v>27.36</v>
      </c>
      <c r="S486" s="2">
        <v>26.73</v>
      </c>
      <c r="T486" t="s">
        <v>68</v>
      </c>
      <c r="U486">
        <v>2011</v>
      </c>
    </row>
    <row r="487" spans="1:21" x14ac:dyDescent="0.3">
      <c r="A487" t="s">
        <v>2164</v>
      </c>
      <c r="B487" s="1">
        <v>41814</v>
      </c>
      <c r="C487" s="1">
        <v>41818</v>
      </c>
      <c r="D487" t="s">
        <v>22</v>
      </c>
      <c r="E487" t="s">
        <v>444</v>
      </c>
      <c r="F487" t="s">
        <v>24</v>
      </c>
      <c r="G487" t="s">
        <v>1722</v>
      </c>
      <c r="H487" t="s">
        <v>1723</v>
      </c>
      <c r="I487" t="s">
        <v>39</v>
      </c>
      <c r="J487" t="s">
        <v>40</v>
      </c>
      <c r="K487" t="s">
        <v>2165</v>
      </c>
      <c r="L487" t="s">
        <v>30</v>
      </c>
      <c r="M487" t="s">
        <v>75</v>
      </c>
      <c r="N487" t="s">
        <v>2166</v>
      </c>
      <c r="O487" s="2">
        <v>39</v>
      </c>
      <c r="P487">
        <v>7</v>
      </c>
      <c r="Q487" s="3">
        <v>0</v>
      </c>
      <c r="R487" s="2">
        <v>8.68</v>
      </c>
      <c r="S487" s="2">
        <v>2.74</v>
      </c>
      <c r="T487" t="s">
        <v>33</v>
      </c>
      <c r="U487">
        <v>2014</v>
      </c>
    </row>
    <row r="488" spans="1:21" x14ac:dyDescent="0.3">
      <c r="A488" t="s">
        <v>2167</v>
      </c>
      <c r="B488" s="1">
        <v>41085</v>
      </c>
      <c r="C488" s="1">
        <v>41088</v>
      </c>
      <c r="D488" t="s">
        <v>84</v>
      </c>
      <c r="E488" t="s">
        <v>789</v>
      </c>
      <c r="F488" t="s">
        <v>36</v>
      </c>
      <c r="G488" t="s">
        <v>708</v>
      </c>
      <c r="H488" t="s">
        <v>103</v>
      </c>
      <c r="I488" t="s">
        <v>39</v>
      </c>
      <c r="J488" t="s">
        <v>57</v>
      </c>
      <c r="K488" t="s">
        <v>2168</v>
      </c>
      <c r="L488" t="s">
        <v>30</v>
      </c>
      <c r="M488" t="s">
        <v>66</v>
      </c>
      <c r="N488" t="s">
        <v>2169</v>
      </c>
      <c r="O488" s="2">
        <v>161</v>
      </c>
      <c r="P488">
        <v>3</v>
      </c>
      <c r="Q488" s="3">
        <v>0.4</v>
      </c>
      <c r="R488" s="2">
        <v>-18.827999999999999</v>
      </c>
      <c r="S488" s="2">
        <v>24.55</v>
      </c>
      <c r="T488" t="s">
        <v>99</v>
      </c>
      <c r="U488">
        <v>2012</v>
      </c>
    </row>
    <row r="489" spans="1:21" x14ac:dyDescent="0.3">
      <c r="A489" t="s">
        <v>2170</v>
      </c>
      <c r="B489" s="1">
        <v>41453</v>
      </c>
      <c r="C489" s="1">
        <v>41455</v>
      </c>
      <c r="D489" t="s">
        <v>84</v>
      </c>
      <c r="E489" t="s">
        <v>1717</v>
      </c>
      <c r="F489" t="s">
        <v>54</v>
      </c>
      <c r="G489" t="s">
        <v>728</v>
      </c>
      <c r="H489" t="s">
        <v>87</v>
      </c>
      <c r="I489" t="s">
        <v>88</v>
      </c>
      <c r="J489" t="s">
        <v>88</v>
      </c>
      <c r="K489" t="s">
        <v>2171</v>
      </c>
      <c r="L489" t="s">
        <v>30</v>
      </c>
      <c r="M489" t="s">
        <v>66</v>
      </c>
      <c r="N489" t="s">
        <v>2172</v>
      </c>
      <c r="O489" s="2">
        <v>50</v>
      </c>
      <c r="P489">
        <v>2</v>
      </c>
      <c r="Q489" s="3">
        <v>0.6</v>
      </c>
      <c r="R489" s="2">
        <v>-64.691999999999993</v>
      </c>
      <c r="S489" s="2">
        <v>14.26</v>
      </c>
      <c r="T489" t="s">
        <v>99</v>
      </c>
      <c r="U489">
        <v>2013</v>
      </c>
    </row>
    <row r="490" spans="1:21" x14ac:dyDescent="0.3">
      <c r="A490" t="s">
        <v>2173</v>
      </c>
      <c r="B490" s="1">
        <v>41088</v>
      </c>
      <c r="C490" s="1">
        <v>41093</v>
      </c>
      <c r="D490" t="s">
        <v>22</v>
      </c>
      <c r="E490" t="s">
        <v>2174</v>
      </c>
      <c r="F490" t="s">
        <v>36</v>
      </c>
      <c r="G490" t="s">
        <v>127</v>
      </c>
      <c r="H490" t="s">
        <v>128</v>
      </c>
      <c r="I490" t="s">
        <v>49</v>
      </c>
      <c r="J490" t="s">
        <v>129</v>
      </c>
      <c r="K490" t="s">
        <v>2175</v>
      </c>
      <c r="L490" t="s">
        <v>59</v>
      </c>
      <c r="M490" t="s">
        <v>139</v>
      </c>
      <c r="N490" t="s">
        <v>2176</v>
      </c>
      <c r="O490" s="2">
        <v>823</v>
      </c>
      <c r="P490">
        <v>2</v>
      </c>
      <c r="Q490" s="3">
        <v>0.1</v>
      </c>
      <c r="R490" s="2">
        <v>246.852</v>
      </c>
      <c r="S490" s="2">
        <v>92.78</v>
      </c>
      <c r="T490" t="s">
        <v>33</v>
      </c>
      <c r="U490">
        <v>2012</v>
      </c>
    </row>
    <row r="491" spans="1:21" x14ac:dyDescent="0.3">
      <c r="A491" t="s">
        <v>2177</v>
      </c>
      <c r="B491" s="1">
        <v>40639</v>
      </c>
      <c r="C491" s="1">
        <v>40645</v>
      </c>
      <c r="D491" t="s">
        <v>22</v>
      </c>
      <c r="E491" t="s">
        <v>2178</v>
      </c>
      <c r="F491" t="s">
        <v>54</v>
      </c>
      <c r="G491" t="s">
        <v>2179</v>
      </c>
      <c r="H491" t="s">
        <v>435</v>
      </c>
      <c r="I491" t="s">
        <v>117</v>
      </c>
      <c r="J491" t="s">
        <v>117</v>
      </c>
      <c r="K491" t="s">
        <v>2180</v>
      </c>
      <c r="L491" t="s">
        <v>59</v>
      </c>
      <c r="M491" t="s">
        <v>139</v>
      </c>
      <c r="N491" t="s">
        <v>2046</v>
      </c>
      <c r="O491" s="2">
        <v>92</v>
      </c>
      <c r="P491">
        <v>1</v>
      </c>
      <c r="Q491" s="3">
        <v>0</v>
      </c>
      <c r="R491" s="2">
        <v>10.98</v>
      </c>
      <c r="S491" s="2">
        <v>6.15</v>
      </c>
      <c r="T491" t="s">
        <v>33</v>
      </c>
      <c r="U491">
        <v>2011</v>
      </c>
    </row>
    <row r="492" spans="1:21" x14ac:dyDescent="0.3">
      <c r="A492" t="s">
        <v>2181</v>
      </c>
      <c r="B492" s="1">
        <v>41438</v>
      </c>
      <c r="C492" s="1">
        <v>41442</v>
      </c>
      <c r="D492" t="s">
        <v>22</v>
      </c>
      <c r="E492" t="s">
        <v>2182</v>
      </c>
      <c r="F492" t="s">
        <v>54</v>
      </c>
      <c r="G492" t="s">
        <v>2183</v>
      </c>
      <c r="H492" t="s">
        <v>242</v>
      </c>
      <c r="I492" t="s">
        <v>27</v>
      </c>
      <c r="J492" t="s">
        <v>153</v>
      </c>
      <c r="K492" t="s">
        <v>2088</v>
      </c>
      <c r="L492" t="s">
        <v>59</v>
      </c>
      <c r="M492" t="s">
        <v>139</v>
      </c>
      <c r="N492" t="s">
        <v>2089</v>
      </c>
      <c r="O492" s="2">
        <v>365</v>
      </c>
      <c r="P492">
        <v>2</v>
      </c>
      <c r="Q492" s="3">
        <v>0</v>
      </c>
      <c r="R492" s="2">
        <v>21.9</v>
      </c>
      <c r="S492" s="2">
        <v>13.75</v>
      </c>
      <c r="T492" t="s">
        <v>33</v>
      </c>
      <c r="U492">
        <v>2013</v>
      </c>
    </row>
    <row r="493" spans="1:21" x14ac:dyDescent="0.3">
      <c r="A493" t="s">
        <v>2184</v>
      </c>
      <c r="B493" s="1">
        <v>41005</v>
      </c>
      <c r="C493" s="1">
        <v>41006</v>
      </c>
      <c r="D493" t="s">
        <v>84</v>
      </c>
      <c r="E493" t="s">
        <v>2185</v>
      </c>
      <c r="F493" t="s">
        <v>36</v>
      </c>
      <c r="G493" t="s">
        <v>602</v>
      </c>
      <c r="H493" t="s">
        <v>602</v>
      </c>
      <c r="I493" t="s">
        <v>39</v>
      </c>
      <c r="J493" t="s">
        <v>57</v>
      </c>
      <c r="K493" t="s">
        <v>2186</v>
      </c>
      <c r="L493" t="s">
        <v>146</v>
      </c>
      <c r="M493" t="s">
        <v>147</v>
      </c>
      <c r="N493" t="s">
        <v>2187</v>
      </c>
      <c r="O493" s="2">
        <v>244</v>
      </c>
      <c r="P493">
        <v>5</v>
      </c>
      <c r="Q493" s="3">
        <v>0</v>
      </c>
      <c r="R493" s="2">
        <v>56.1</v>
      </c>
      <c r="S493" s="2">
        <v>26.92</v>
      </c>
      <c r="T493" t="s">
        <v>99</v>
      </c>
      <c r="U493">
        <v>2012</v>
      </c>
    </row>
    <row r="494" spans="1:21" x14ac:dyDescent="0.3">
      <c r="A494" t="s">
        <v>2188</v>
      </c>
      <c r="B494" s="1">
        <v>41085</v>
      </c>
      <c r="C494" s="1">
        <v>41091</v>
      </c>
      <c r="D494" t="s">
        <v>22</v>
      </c>
      <c r="E494" t="s">
        <v>400</v>
      </c>
      <c r="F494" t="s">
        <v>54</v>
      </c>
      <c r="G494" t="s">
        <v>134</v>
      </c>
      <c r="H494" t="s">
        <v>135</v>
      </c>
      <c r="I494" t="s">
        <v>136</v>
      </c>
      <c r="J494" t="s">
        <v>137</v>
      </c>
      <c r="K494" t="s">
        <v>2189</v>
      </c>
      <c r="L494" t="s">
        <v>30</v>
      </c>
      <c r="M494" t="s">
        <v>31</v>
      </c>
      <c r="N494" t="s">
        <v>2190</v>
      </c>
      <c r="O494" s="2">
        <v>89</v>
      </c>
      <c r="P494">
        <v>3</v>
      </c>
      <c r="Q494" s="3">
        <v>0.2</v>
      </c>
      <c r="R494" s="2">
        <v>27.734999999999999</v>
      </c>
      <c r="S494" s="2">
        <v>4.7699999999999996</v>
      </c>
      <c r="T494" t="s">
        <v>33</v>
      </c>
      <c r="U494">
        <v>2012</v>
      </c>
    </row>
    <row r="495" spans="1:21" x14ac:dyDescent="0.3">
      <c r="A495" t="s">
        <v>2191</v>
      </c>
      <c r="B495" s="1">
        <v>41158</v>
      </c>
      <c r="C495" s="1">
        <v>41160</v>
      </c>
      <c r="D495" t="s">
        <v>84</v>
      </c>
      <c r="E495" t="s">
        <v>1580</v>
      </c>
      <c r="F495" t="s">
        <v>24</v>
      </c>
      <c r="G495" t="s">
        <v>2192</v>
      </c>
      <c r="H495" t="s">
        <v>2104</v>
      </c>
      <c r="I495" t="s">
        <v>88</v>
      </c>
      <c r="J495" t="s">
        <v>88</v>
      </c>
      <c r="K495" t="s">
        <v>2193</v>
      </c>
      <c r="L495" t="s">
        <v>59</v>
      </c>
      <c r="M495" t="s">
        <v>339</v>
      </c>
      <c r="N495" t="s">
        <v>2194</v>
      </c>
      <c r="O495" s="2">
        <v>1487</v>
      </c>
      <c r="P495">
        <v>12</v>
      </c>
      <c r="Q495" s="3">
        <v>0</v>
      </c>
      <c r="R495" s="2">
        <v>743.4</v>
      </c>
      <c r="S495" s="2">
        <v>36.659999999999997</v>
      </c>
      <c r="T495" t="s">
        <v>99</v>
      </c>
      <c r="U495">
        <v>2012</v>
      </c>
    </row>
    <row r="496" spans="1:21" x14ac:dyDescent="0.3">
      <c r="A496" t="s">
        <v>2195</v>
      </c>
      <c r="B496" s="1">
        <v>41806</v>
      </c>
      <c r="C496" s="1">
        <v>41809</v>
      </c>
      <c r="D496" t="s">
        <v>45</v>
      </c>
      <c r="E496" t="s">
        <v>1195</v>
      </c>
      <c r="F496" t="s">
        <v>24</v>
      </c>
      <c r="G496" t="s">
        <v>790</v>
      </c>
      <c r="H496" t="s">
        <v>791</v>
      </c>
      <c r="I496" t="s">
        <v>117</v>
      </c>
      <c r="J496" t="s">
        <v>117</v>
      </c>
      <c r="K496" t="s">
        <v>2196</v>
      </c>
      <c r="L496" t="s">
        <v>146</v>
      </c>
      <c r="M496" t="s">
        <v>195</v>
      </c>
      <c r="N496" t="s">
        <v>2197</v>
      </c>
      <c r="O496" s="2">
        <v>78</v>
      </c>
      <c r="P496">
        <v>1</v>
      </c>
      <c r="Q496" s="3">
        <v>0</v>
      </c>
      <c r="R496" s="2">
        <v>11.7</v>
      </c>
      <c r="S496" s="2">
        <v>9.4700000000000006</v>
      </c>
      <c r="T496" t="s">
        <v>33</v>
      </c>
      <c r="U496">
        <v>2014</v>
      </c>
    </row>
    <row r="497" spans="1:21" x14ac:dyDescent="0.3">
      <c r="A497" t="s">
        <v>2198</v>
      </c>
      <c r="B497" s="1">
        <v>41803</v>
      </c>
      <c r="C497" s="1">
        <v>41808</v>
      </c>
      <c r="D497" t="s">
        <v>45</v>
      </c>
      <c r="E497" t="s">
        <v>675</v>
      </c>
      <c r="F497" t="s">
        <v>54</v>
      </c>
      <c r="G497" t="s">
        <v>2199</v>
      </c>
      <c r="H497" t="s">
        <v>524</v>
      </c>
      <c r="I497" t="s">
        <v>39</v>
      </c>
      <c r="J497" t="s">
        <v>40</v>
      </c>
      <c r="K497" t="s">
        <v>2200</v>
      </c>
      <c r="L497" t="s">
        <v>59</v>
      </c>
      <c r="M497" t="s">
        <v>139</v>
      </c>
      <c r="N497" t="s">
        <v>2201</v>
      </c>
      <c r="O497" s="2">
        <v>17</v>
      </c>
      <c r="P497">
        <v>1</v>
      </c>
      <c r="Q497" s="3">
        <v>0.4</v>
      </c>
      <c r="R497" s="2">
        <v>1.1519999999999999</v>
      </c>
      <c r="S497" s="2">
        <v>2.77</v>
      </c>
      <c r="T497" t="s">
        <v>33</v>
      </c>
      <c r="U497">
        <v>2014</v>
      </c>
    </row>
    <row r="498" spans="1:21" x14ac:dyDescent="0.3">
      <c r="A498" t="s">
        <v>2202</v>
      </c>
      <c r="B498" s="1">
        <v>41523</v>
      </c>
      <c r="C498" s="1">
        <v>41523</v>
      </c>
      <c r="D498" t="s">
        <v>232</v>
      </c>
      <c r="E498" t="s">
        <v>1896</v>
      </c>
      <c r="F498" t="s">
        <v>36</v>
      </c>
      <c r="G498" t="s">
        <v>2203</v>
      </c>
      <c r="H498" t="s">
        <v>875</v>
      </c>
      <c r="I498" t="s">
        <v>117</v>
      </c>
      <c r="J498" t="s">
        <v>117</v>
      </c>
      <c r="K498" t="s">
        <v>2018</v>
      </c>
      <c r="L498" t="s">
        <v>30</v>
      </c>
      <c r="M498" t="s">
        <v>31</v>
      </c>
      <c r="N498" t="s">
        <v>2019</v>
      </c>
      <c r="O498" s="2">
        <v>16</v>
      </c>
      <c r="P498">
        <v>1</v>
      </c>
      <c r="Q498" s="3">
        <v>0</v>
      </c>
      <c r="R498" s="2">
        <v>1.26</v>
      </c>
      <c r="S498" s="2">
        <v>2.83</v>
      </c>
      <c r="T498" t="s">
        <v>33</v>
      </c>
      <c r="U498">
        <v>2013</v>
      </c>
    </row>
    <row r="499" spans="1:21" x14ac:dyDescent="0.3">
      <c r="A499" t="s">
        <v>2204</v>
      </c>
      <c r="B499" s="1">
        <v>41857</v>
      </c>
      <c r="C499" s="1">
        <v>41863</v>
      </c>
      <c r="D499" t="s">
        <v>22</v>
      </c>
      <c r="E499" t="s">
        <v>815</v>
      </c>
      <c r="F499" t="s">
        <v>24</v>
      </c>
      <c r="G499" t="s">
        <v>127</v>
      </c>
      <c r="H499" t="s">
        <v>128</v>
      </c>
      <c r="I499" t="s">
        <v>49</v>
      </c>
      <c r="J499" t="s">
        <v>129</v>
      </c>
      <c r="K499" t="s">
        <v>2205</v>
      </c>
      <c r="L499" t="s">
        <v>146</v>
      </c>
      <c r="M499" t="s">
        <v>271</v>
      </c>
      <c r="N499" t="s">
        <v>2206</v>
      </c>
      <c r="O499" s="2">
        <v>39</v>
      </c>
      <c r="P499">
        <v>1</v>
      </c>
      <c r="Q499" s="3">
        <v>0</v>
      </c>
      <c r="R499" s="2">
        <v>17.28</v>
      </c>
      <c r="S499" s="2">
        <v>4.18</v>
      </c>
      <c r="T499" t="s">
        <v>33</v>
      </c>
      <c r="U499">
        <v>2014</v>
      </c>
    </row>
    <row r="500" spans="1:21" x14ac:dyDescent="0.3">
      <c r="A500" t="s">
        <v>2207</v>
      </c>
      <c r="B500" s="1">
        <v>41523</v>
      </c>
      <c r="C500" s="1">
        <v>41527</v>
      </c>
      <c r="D500" t="s">
        <v>22</v>
      </c>
      <c r="E500" t="s">
        <v>400</v>
      </c>
      <c r="F500" t="s">
        <v>54</v>
      </c>
      <c r="G500" t="s">
        <v>127</v>
      </c>
      <c r="H500" t="s">
        <v>128</v>
      </c>
      <c r="I500" t="s">
        <v>49</v>
      </c>
      <c r="J500" t="s">
        <v>129</v>
      </c>
      <c r="K500" t="s">
        <v>2208</v>
      </c>
      <c r="L500" t="s">
        <v>146</v>
      </c>
      <c r="M500" t="s">
        <v>271</v>
      </c>
      <c r="N500" t="s">
        <v>2209</v>
      </c>
      <c r="O500" s="2">
        <v>459</v>
      </c>
      <c r="P500">
        <v>4</v>
      </c>
      <c r="Q500" s="3">
        <v>0</v>
      </c>
      <c r="R500" s="2">
        <v>100.92</v>
      </c>
      <c r="S500" s="2">
        <v>50.57</v>
      </c>
      <c r="T500" t="s">
        <v>99</v>
      </c>
      <c r="U500">
        <v>2013</v>
      </c>
    </row>
    <row r="501" spans="1:21" x14ac:dyDescent="0.3">
      <c r="A501" t="s">
        <v>2210</v>
      </c>
      <c r="B501" s="1">
        <v>40712</v>
      </c>
      <c r="C501" s="1">
        <v>40717</v>
      </c>
      <c r="D501" t="s">
        <v>45</v>
      </c>
      <c r="E501" t="s">
        <v>2211</v>
      </c>
      <c r="F501" t="s">
        <v>24</v>
      </c>
      <c r="G501" t="s">
        <v>1942</v>
      </c>
      <c r="H501" t="s">
        <v>1147</v>
      </c>
      <c r="I501" t="s">
        <v>39</v>
      </c>
      <c r="J501" t="s">
        <v>129</v>
      </c>
      <c r="K501" t="s">
        <v>2212</v>
      </c>
      <c r="L501" t="s">
        <v>30</v>
      </c>
      <c r="M501" t="s">
        <v>75</v>
      </c>
      <c r="N501" t="s">
        <v>2213</v>
      </c>
      <c r="O501" s="2">
        <v>16</v>
      </c>
      <c r="P501">
        <v>2</v>
      </c>
      <c r="Q501" s="3">
        <v>0</v>
      </c>
      <c r="R501" s="2">
        <v>6.56</v>
      </c>
      <c r="S501" s="2">
        <v>2.79</v>
      </c>
      <c r="T501" t="s">
        <v>99</v>
      </c>
      <c r="U501">
        <v>2011</v>
      </c>
    </row>
    <row r="502" spans="1:21" x14ac:dyDescent="0.3">
      <c r="A502" t="s">
        <v>2214</v>
      </c>
      <c r="B502" s="1">
        <v>41808</v>
      </c>
      <c r="C502" s="1">
        <v>41811</v>
      </c>
      <c r="D502" t="s">
        <v>84</v>
      </c>
      <c r="E502" t="s">
        <v>1888</v>
      </c>
      <c r="F502" t="s">
        <v>54</v>
      </c>
      <c r="G502" t="s">
        <v>2215</v>
      </c>
      <c r="H502" t="s">
        <v>72</v>
      </c>
      <c r="I502" t="s">
        <v>27</v>
      </c>
      <c r="J502" t="s">
        <v>73</v>
      </c>
      <c r="K502" t="s">
        <v>2216</v>
      </c>
      <c r="L502" t="s">
        <v>146</v>
      </c>
      <c r="M502" t="s">
        <v>271</v>
      </c>
      <c r="N502" t="s">
        <v>2217</v>
      </c>
      <c r="O502" s="2">
        <v>458</v>
      </c>
      <c r="P502">
        <v>4</v>
      </c>
      <c r="Q502" s="3">
        <v>0</v>
      </c>
      <c r="R502" s="2">
        <v>73.319999999999993</v>
      </c>
      <c r="S502" s="2">
        <v>87.4</v>
      </c>
      <c r="T502" t="s">
        <v>99</v>
      </c>
      <c r="U502">
        <v>2014</v>
      </c>
    </row>
    <row r="503" spans="1:21" x14ac:dyDescent="0.3">
      <c r="A503" t="s">
        <v>2218</v>
      </c>
      <c r="B503" s="1">
        <v>41523</v>
      </c>
      <c r="C503" s="1">
        <v>41527</v>
      </c>
      <c r="D503" t="s">
        <v>22</v>
      </c>
      <c r="E503" t="s">
        <v>922</v>
      </c>
      <c r="F503" t="s">
        <v>54</v>
      </c>
      <c r="G503" t="s">
        <v>327</v>
      </c>
      <c r="H503" t="s">
        <v>224</v>
      </c>
      <c r="I503" t="s">
        <v>49</v>
      </c>
      <c r="J503" t="s">
        <v>40</v>
      </c>
      <c r="K503" t="s">
        <v>2219</v>
      </c>
      <c r="L503" t="s">
        <v>30</v>
      </c>
      <c r="M503" t="s">
        <v>66</v>
      </c>
      <c r="N503" t="s">
        <v>2220</v>
      </c>
      <c r="O503" s="2">
        <v>103</v>
      </c>
      <c r="P503">
        <v>2</v>
      </c>
      <c r="Q503" s="3">
        <v>0.1</v>
      </c>
      <c r="R503" s="2">
        <v>-3.4980000000000002</v>
      </c>
      <c r="S503" s="2">
        <v>15.85</v>
      </c>
      <c r="T503" t="s">
        <v>99</v>
      </c>
      <c r="U503">
        <v>2013</v>
      </c>
    </row>
    <row r="504" spans="1:21" x14ac:dyDescent="0.3">
      <c r="A504" t="s">
        <v>2221</v>
      </c>
      <c r="B504" s="1">
        <v>40753</v>
      </c>
      <c r="C504" s="1">
        <v>40755</v>
      </c>
      <c r="D504" t="s">
        <v>45</v>
      </c>
      <c r="E504" t="s">
        <v>2222</v>
      </c>
      <c r="F504" t="s">
        <v>24</v>
      </c>
      <c r="G504" t="s">
        <v>1270</v>
      </c>
      <c r="H504" t="s">
        <v>1147</v>
      </c>
      <c r="I504" t="s">
        <v>39</v>
      </c>
      <c r="J504" t="s">
        <v>129</v>
      </c>
      <c r="K504" t="s">
        <v>2223</v>
      </c>
      <c r="L504" t="s">
        <v>30</v>
      </c>
      <c r="M504" t="s">
        <v>105</v>
      </c>
      <c r="N504" t="s">
        <v>2224</v>
      </c>
      <c r="O504" s="2">
        <v>70</v>
      </c>
      <c r="P504">
        <v>6</v>
      </c>
      <c r="Q504" s="3">
        <v>0</v>
      </c>
      <c r="R504" s="2">
        <v>25.32</v>
      </c>
      <c r="S504" s="2">
        <v>14.74</v>
      </c>
      <c r="T504" t="s">
        <v>68</v>
      </c>
      <c r="U504">
        <v>2011</v>
      </c>
    </row>
    <row r="505" spans="1:21" x14ac:dyDescent="0.3">
      <c r="A505" t="s">
        <v>2225</v>
      </c>
      <c r="B505" s="1">
        <v>41432</v>
      </c>
      <c r="C505" s="1">
        <v>41433</v>
      </c>
      <c r="D505" t="s">
        <v>84</v>
      </c>
      <c r="E505" t="s">
        <v>2226</v>
      </c>
      <c r="F505" t="s">
        <v>54</v>
      </c>
      <c r="G505" t="s">
        <v>2227</v>
      </c>
      <c r="H505" t="s">
        <v>135</v>
      </c>
      <c r="I505" t="s">
        <v>136</v>
      </c>
      <c r="J505" t="s">
        <v>40</v>
      </c>
      <c r="K505" t="s">
        <v>2228</v>
      </c>
      <c r="L505" t="s">
        <v>30</v>
      </c>
      <c r="M505" t="s">
        <v>31</v>
      </c>
      <c r="N505" t="s">
        <v>2229</v>
      </c>
      <c r="O505" s="2">
        <v>64</v>
      </c>
      <c r="P505">
        <v>3</v>
      </c>
      <c r="Q505" s="3">
        <v>0</v>
      </c>
      <c r="R505" s="2">
        <v>30.787199999999999</v>
      </c>
      <c r="S505" s="2">
        <v>3.3</v>
      </c>
      <c r="T505" t="s">
        <v>99</v>
      </c>
      <c r="U505">
        <v>2013</v>
      </c>
    </row>
    <row r="506" spans="1:21" x14ac:dyDescent="0.3">
      <c r="A506" t="s">
        <v>2230</v>
      </c>
      <c r="B506" s="1">
        <v>40749</v>
      </c>
      <c r="C506" s="1">
        <v>40754</v>
      </c>
      <c r="D506" t="s">
        <v>22</v>
      </c>
      <c r="E506" t="s">
        <v>593</v>
      </c>
      <c r="F506" t="s">
        <v>54</v>
      </c>
      <c r="G506" t="s">
        <v>315</v>
      </c>
      <c r="H506" t="s">
        <v>316</v>
      </c>
      <c r="I506" t="s">
        <v>27</v>
      </c>
      <c r="J506" t="s">
        <v>212</v>
      </c>
      <c r="K506" t="s">
        <v>2231</v>
      </c>
      <c r="L506" t="s">
        <v>146</v>
      </c>
      <c r="M506" t="s">
        <v>347</v>
      </c>
      <c r="N506" t="s">
        <v>520</v>
      </c>
      <c r="O506" s="2">
        <v>1432</v>
      </c>
      <c r="P506">
        <v>5</v>
      </c>
      <c r="Q506" s="3">
        <v>0.1</v>
      </c>
      <c r="R506" s="2">
        <v>413.49</v>
      </c>
      <c r="S506" s="2">
        <v>129.06</v>
      </c>
      <c r="T506" t="s">
        <v>99</v>
      </c>
      <c r="U506">
        <v>2011</v>
      </c>
    </row>
    <row r="507" spans="1:21" x14ac:dyDescent="0.3">
      <c r="A507" t="s">
        <v>2232</v>
      </c>
      <c r="B507" s="1">
        <v>41432</v>
      </c>
      <c r="C507" s="1">
        <v>41439</v>
      </c>
      <c r="D507" t="s">
        <v>22</v>
      </c>
      <c r="E507" t="s">
        <v>497</v>
      </c>
      <c r="F507" t="s">
        <v>36</v>
      </c>
      <c r="G507" t="s">
        <v>252</v>
      </c>
      <c r="H507" t="s">
        <v>144</v>
      </c>
      <c r="I507" t="s">
        <v>117</v>
      </c>
      <c r="J507" t="s">
        <v>117</v>
      </c>
      <c r="K507" t="s">
        <v>2233</v>
      </c>
      <c r="L507" t="s">
        <v>30</v>
      </c>
      <c r="M507" t="s">
        <v>97</v>
      </c>
      <c r="N507" t="s">
        <v>2234</v>
      </c>
      <c r="O507" s="2">
        <v>10</v>
      </c>
      <c r="P507">
        <v>2</v>
      </c>
      <c r="Q507" s="3">
        <v>0.7</v>
      </c>
      <c r="R507" s="2">
        <v>-7.032</v>
      </c>
      <c r="S507" s="2">
        <v>0.74</v>
      </c>
      <c r="T507" t="s">
        <v>33</v>
      </c>
      <c r="U507">
        <v>2013</v>
      </c>
    </row>
    <row r="508" spans="1:21" x14ac:dyDescent="0.3">
      <c r="A508" t="s">
        <v>2235</v>
      </c>
      <c r="B508" s="1">
        <v>41474</v>
      </c>
      <c r="C508" s="1">
        <v>41474</v>
      </c>
      <c r="D508" t="s">
        <v>232</v>
      </c>
      <c r="E508" t="s">
        <v>2236</v>
      </c>
      <c r="F508" t="s">
        <v>54</v>
      </c>
      <c r="G508" t="s">
        <v>557</v>
      </c>
      <c r="H508" t="s">
        <v>558</v>
      </c>
      <c r="I508" t="s">
        <v>117</v>
      </c>
      <c r="J508" t="s">
        <v>117</v>
      </c>
      <c r="K508" t="s">
        <v>2237</v>
      </c>
      <c r="L508" t="s">
        <v>30</v>
      </c>
      <c r="M508" t="s">
        <v>370</v>
      </c>
      <c r="N508" t="s">
        <v>2238</v>
      </c>
      <c r="O508" s="2">
        <v>69</v>
      </c>
      <c r="P508">
        <v>2</v>
      </c>
      <c r="Q508" s="3">
        <v>0</v>
      </c>
      <c r="R508" s="2">
        <v>15.84</v>
      </c>
      <c r="S508" s="2">
        <v>22.15</v>
      </c>
      <c r="T508" t="s">
        <v>68</v>
      </c>
      <c r="U508">
        <v>2013</v>
      </c>
    </row>
    <row r="509" spans="1:21" x14ac:dyDescent="0.3">
      <c r="A509" t="s">
        <v>2239</v>
      </c>
      <c r="B509" s="1">
        <v>41482</v>
      </c>
      <c r="C509" s="1">
        <v>41488</v>
      </c>
      <c r="D509" t="s">
        <v>22</v>
      </c>
      <c r="E509" t="s">
        <v>2240</v>
      </c>
      <c r="F509" t="s">
        <v>54</v>
      </c>
      <c r="G509" t="s">
        <v>295</v>
      </c>
      <c r="H509" t="s">
        <v>296</v>
      </c>
      <c r="I509" t="s">
        <v>88</v>
      </c>
      <c r="J509" t="s">
        <v>88</v>
      </c>
      <c r="K509" t="s">
        <v>2241</v>
      </c>
      <c r="L509" t="s">
        <v>30</v>
      </c>
      <c r="M509" t="s">
        <v>42</v>
      </c>
      <c r="N509" t="s">
        <v>2242</v>
      </c>
      <c r="O509" s="2">
        <v>124</v>
      </c>
      <c r="P509">
        <v>2</v>
      </c>
      <c r="Q509" s="3">
        <v>0</v>
      </c>
      <c r="R509" s="2">
        <v>53.16</v>
      </c>
      <c r="S509" s="2">
        <v>5.2</v>
      </c>
      <c r="T509" t="s">
        <v>77</v>
      </c>
      <c r="U509">
        <v>2013</v>
      </c>
    </row>
    <row r="510" spans="1:21" x14ac:dyDescent="0.3">
      <c r="A510" t="s">
        <v>2243</v>
      </c>
      <c r="B510" s="1">
        <v>41220</v>
      </c>
      <c r="C510" s="1">
        <v>41224</v>
      </c>
      <c r="D510" t="s">
        <v>22</v>
      </c>
      <c r="E510" t="s">
        <v>1919</v>
      </c>
      <c r="F510" t="s">
        <v>54</v>
      </c>
      <c r="G510" t="s">
        <v>1270</v>
      </c>
      <c r="H510" t="s">
        <v>1147</v>
      </c>
      <c r="I510" t="s">
        <v>39</v>
      </c>
      <c r="J510" t="s">
        <v>129</v>
      </c>
      <c r="K510" t="s">
        <v>2244</v>
      </c>
      <c r="L510" t="s">
        <v>30</v>
      </c>
      <c r="M510" t="s">
        <v>410</v>
      </c>
      <c r="N510" t="s">
        <v>2245</v>
      </c>
      <c r="O510" s="2">
        <v>30</v>
      </c>
      <c r="P510">
        <v>3</v>
      </c>
      <c r="Q510" s="3">
        <v>0</v>
      </c>
      <c r="R510" s="2">
        <v>11.76</v>
      </c>
      <c r="S510" s="2">
        <v>1.44</v>
      </c>
      <c r="T510" t="s">
        <v>99</v>
      </c>
      <c r="U510">
        <v>2012</v>
      </c>
    </row>
    <row r="511" spans="1:21" x14ac:dyDescent="0.3">
      <c r="A511" t="s">
        <v>2246</v>
      </c>
      <c r="B511" s="1">
        <v>40640</v>
      </c>
      <c r="C511" s="1">
        <v>40644</v>
      </c>
      <c r="D511" t="s">
        <v>22</v>
      </c>
      <c r="E511" t="s">
        <v>2247</v>
      </c>
      <c r="F511" t="s">
        <v>36</v>
      </c>
      <c r="G511" t="s">
        <v>1270</v>
      </c>
      <c r="H511" t="s">
        <v>1147</v>
      </c>
      <c r="I511" t="s">
        <v>39</v>
      </c>
      <c r="J511" t="s">
        <v>129</v>
      </c>
      <c r="K511" t="s">
        <v>2248</v>
      </c>
      <c r="L511" t="s">
        <v>30</v>
      </c>
      <c r="M511" t="s">
        <v>75</v>
      </c>
      <c r="N511" t="s">
        <v>2249</v>
      </c>
      <c r="O511" s="2">
        <v>14</v>
      </c>
      <c r="P511">
        <v>2</v>
      </c>
      <c r="Q511" s="3">
        <v>0</v>
      </c>
      <c r="R511" s="2">
        <v>0.28000000000000003</v>
      </c>
      <c r="S511" s="2">
        <v>0.98</v>
      </c>
      <c r="T511" t="s">
        <v>33</v>
      </c>
      <c r="U511">
        <v>2011</v>
      </c>
    </row>
    <row r="512" spans="1:21" x14ac:dyDescent="0.3">
      <c r="A512" t="s">
        <v>2250</v>
      </c>
      <c r="B512" s="1">
        <v>41121</v>
      </c>
      <c r="C512" s="1">
        <v>41127</v>
      </c>
      <c r="D512" t="s">
        <v>22</v>
      </c>
      <c r="E512" t="s">
        <v>2251</v>
      </c>
      <c r="F512" t="s">
        <v>24</v>
      </c>
      <c r="G512" t="s">
        <v>2252</v>
      </c>
      <c r="H512" t="s">
        <v>135</v>
      </c>
      <c r="I512" t="s">
        <v>136</v>
      </c>
      <c r="J512" t="s">
        <v>40</v>
      </c>
      <c r="K512" t="s">
        <v>2253</v>
      </c>
      <c r="L512" t="s">
        <v>146</v>
      </c>
      <c r="M512" t="s">
        <v>271</v>
      </c>
      <c r="N512" t="s">
        <v>2254</v>
      </c>
      <c r="O512" s="2">
        <v>240</v>
      </c>
      <c r="P512">
        <v>6</v>
      </c>
      <c r="Q512" s="3">
        <v>0</v>
      </c>
      <c r="R512" s="2">
        <v>105.468</v>
      </c>
      <c r="S512" s="2">
        <v>15.46</v>
      </c>
      <c r="T512" t="s">
        <v>33</v>
      </c>
      <c r="U512">
        <v>2012</v>
      </c>
    </row>
    <row r="513" spans="1:21" x14ac:dyDescent="0.3">
      <c r="A513" t="s">
        <v>2255</v>
      </c>
      <c r="B513" s="1">
        <v>41121</v>
      </c>
      <c r="C513" s="1">
        <v>41121</v>
      </c>
      <c r="D513" t="s">
        <v>232</v>
      </c>
      <c r="E513" t="s">
        <v>233</v>
      </c>
      <c r="F513" t="s">
        <v>54</v>
      </c>
      <c r="G513" t="s">
        <v>395</v>
      </c>
      <c r="H513" t="s">
        <v>135</v>
      </c>
      <c r="I513" t="s">
        <v>136</v>
      </c>
      <c r="J513" t="s">
        <v>396</v>
      </c>
      <c r="K513" t="s">
        <v>2256</v>
      </c>
      <c r="L513" t="s">
        <v>30</v>
      </c>
      <c r="M513" t="s">
        <v>105</v>
      </c>
      <c r="N513" t="s">
        <v>2257</v>
      </c>
      <c r="O513" s="2">
        <v>19</v>
      </c>
      <c r="P513">
        <v>3</v>
      </c>
      <c r="Q513" s="3">
        <v>0</v>
      </c>
      <c r="R513" s="2">
        <v>9.3312000000000008</v>
      </c>
      <c r="S513" s="2">
        <v>7.24</v>
      </c>
      <c r="T513" t="s">
        <v>68</v>
      </c>
      <c r="U513">
        <v>2012</v>
      </c>
    </row>
    <row r="514" spans="1:21" x14ac:dyDescent="0.3">
      <c r="A514" t="s">
        <v>2258</v>
      </c>
      <c r="B514" s="1">
        <v>41480</v>
      </c>
      <c r="C514" s="1">
        <v>41484</v>
      </c>
      <c r="D514" t="s">
        <v>45</v>
      </c>
      <c r="E514" t="s">
        <v>2259</v>
      </c>
      <c r="F514" t="s">
        <v>54</v>
      </c>
      <c r="G514" t="s">
        <v>351</v>
      </c>
      <c r="H514" t="s">
        <v>56</v>
      </c>
      <c r="I514" t="s">
        <v>49</v>
      </c>
      <c r="J514" t="s">
        <v>57</v>
      </c>
      <c r="K514" t="s">
        <v>2260</v>
      </c>
      <c r="L514" t="s">
        <v>59</v>
      </c>
      <c r="M514" t="s">
        <v>339</v>
      </c>
      <c r="N514" t="s">
        <v>2261</v>
      </c>
      <c r="O514" s="2">
        <v>267</v>
      </c>
      <c r="P514">
        <v>2</v>
      </c>
      <c r="Q514" s="3">
        <v>0.1</v>
      </c>
      <c r="R514" s="2">
        <v>17.771999999999998</v>
      </c>
      <c r="S514" s="2">
        <v>36.75</v>
      </c>
      <c r="T514" t="s">
        <v>99</v>
      </c>
      <c r="U514">
        <v>2013</v>
      </c>
    </row>
    <row r="515" spans="1:21" x14ac:dyDescent="0.3">
      <c r="A515" t="s">
        <v>2262</v>
      </c>
      <c r="B515" s="1">
        <v>40742</v>
      </c>
      <c r="C515" s="1">
        <v>40746</v>
      </c>
      <c r="D515" t="s">
        <v>22</v>
      </c>
      <c r="E515" t="s">
        <v>2148</v>
      </c>
      <c r="F515" t="s">
        <v>54</v>
      </c>
      <c r="G515" t="s">
        <v>1553</v>
      </c>
      <c r="H515" t="s">
        <v>38</v>
      </c>
      <c r="I515" t="s">
        <v>39</v>
      </c>
      <c r="J515" t="s">
        <v>40</v>
      </c>
      <c r="K515" t="s">
        <v>2263</v>
      </c>
      <c r="L515" t="s">
        <v>30</v>
      </c>
      <c r="M515" t="s">
        <v>90</v>
      </c>
      <c r="N515" t="s">
        <v>2264</v>
      </c>
      <c r="O515" s="2">
        <v>45</v>
      </c>
      <c r="P515">
        <v>6</v>
      </c>
      <c r="Q515" s="3">
        <v>0.6</v>
      </c>
      <c r="R515" s="2">
        <v>-45.863999999999997</v>
      </c>
      <c r="S515" s="2">
        <v>2.66</v>
      </c>
      <c r="T515" t="s">
        <v>33</v>
      </c>
      <c r="U515">
        <v>2011</v>
      </c>
    </row>
    <row r="516" spans="1:21" x14ac:dyDescent="0.3">
      <c r="A516" t="s">
        <v>2265</v>
      </c>
      <c r="B516" s="1">
        <v>41220</v>
      </c>
      <c r="C516" s="1">
        <v>41224</v>
      </c>
      <c r="D516" t="s">
        <v>45</v>
      </c>
      <c r="E516" t="s">
        <v>2266</v>
      </c>
      <c r="F516" t="s">
        <v>54</v>
      </c>
      <c r="G516" t="s">
        <v>434</v>
      </c>
      <c r="H516" t="s">
        <v>435</v>
      </c>
      <c r="I516" t="s">
        <v>117</v>
      </c>
      <c r="J516" t="s">
        <v>117</v>
      </c>
      <c r="K516" t="s">
        <v>2267</v>
      </c>
      <c r="L516" t="s">
        <v>30</v>
      </c>
      <c r="M516" t="s">
        <v>90</v>
      </c>
      <c r="N516" t="s">
        <v>2268</v>
      </c>
      <c r="O516" s="2">
        <v>185</v>
      </c>
      <c r="P516">
        <v>4</v>
      </c>
      <c r="Q516" s="3">
        <v>0</v>
      </c>
      <c r="R516" s="2">
        <v>48.12</v>
      </c>
      <c r="S516" s="2">
        <v>16.809999999999999</v>
      </c>
      <c r="T516" t="s">
        <v>99</v>
      </c>
      <c r="U516">
        <v>2012</v>
      </c>
    </row>
    <row r="517" spans="1:21" x14ac:dyDescent="0.3">
      <c r="A517" t="s">
        <v>2269</v>
      </c>
      <c r="B517" s="1">
        <v>41432</v>
      </c>
      <c r="C517" s="1">
        <v>41439</v>
      </c>
      <c r="D517" t="s">
        <v>22</v>
      </c>
      <c r="E517" t="s">
        <v>2270</v>
      </c>
      <c r="F517" t="s">
        <v>36</v>
      </c>
      <c r="G517" t="s">
        <v>2271</v>
      </c>
      <c r="H517" t="s">
        <v>1147</v>
      </c>
      <c r="I517" t="s">
        <v>39</v>
      </c>
      <c r="J517" t="s">
        <v>129</v>
      </c>
      <c r="K517" t="s">
        <v>2272</v>
      </c>
      <c r="L517" t="s">
        <v>30</v>
      </c>
      <c r="M517" t="s">
        <v>42</v>
      </c>
      <c r="N517" t="s">
        <v>2273</v>
      </c>
      <c r="O517" s="2">
        <v>664</v>
      </c>
      <c r="P517">
        <v>2</v>
      </c>
      <c r="Q517" s="3">
        <v>0</v>
      </c>
      <c r="R517" s="2">
        <v>166.08</v>
      </c>
      <c r="S517" s="2">
        <v>74.31</v>
      </c>
      <c r="T517" t="s">
        <v>33</v>
      </c>
      <c r="U517">
        <v>2013</v>
      </c>
    </row>
    <row r="518" spans="1:21" x14ac:dyDescent="0.3">
      <c r="A518" t="s">
        <v>2274</v>
      </c>
      <c r="B518" s="1">
        <v>41432</v>
      </c>
      <c r="C518" s="1">
        <v>41436</v>
      </c>
      <c r="D518" t="s">
        <v>22</v>
      </c>
      <c r="E518" t="s">
        <v>2152</v>
      </c>
      <c r="F518" t="s">
        <v>54</v>
      </c>
      <c r="G518" t="s">
        <v>1353</v>
      </c>
      <c r="H518" t="s">
        <v>48</v>
      </c>
      <c r="I518" t="s">
        <v>49</v>
      </c>
      <c r="J518" t="s">
        <v>40</v>
      </c>
      <c r="K518" t="s">
        <v>2275</v>
      </c>
      <c r="L518" t="s">
        <v>30</v>
      </c>
      <c r="M518" t="s">
        <v>370</v>
      </c>
      <c r="N518" t="s">
        <v>2276</v>
      </c>
      <c r="O518" s="2">
        <v>24</v>
      </c>
      <c r="P518">
        <v>1</v>
      </c>
      <c r="Q518" s="3">
        <v>0</v>
      </c>
      <c r="R518" s="2">
        <v>11.1</v>
      </c>
      <c r="S518" s="2">
        <v>2.52</v>
      </c>
      <c r="T518" t="s">
        <v>33</v>
      </c>
      <c r="U518">
        <v>2013</v>
      </c>
    </row>
    <row r="519" spans="1:21" x14ac:dyDescent="0.3">
      <c r="A519" t="s">
        <v>2277</v>
      </c>
      <c r="B519" s="1">
        <v>40915</v>
      </c>
      <c r="C519" s="1">
        <v>40918</v>
      </c>
      <c r="D519" t="s">
        <v>84</v>
      </c>
      <c r="E519" t="s">
        <v>1328</v>
      </c>
      <c r="F519" t="s">
        <v>24</v>
      </c>
      <c r="G519" t="s">
        <v>2278</v>
      </c>
      <c r="H519" t="s">
        <v>2279</v>
      </c>
      <c r="I519" t="s">
        <v>49</v>
      </c>
      <c r="J519" t="s">
        <v>129</v>
      </c>
      <c r="K519" t="s">
        <v>2280</v>
      </c>
      <c r="L519" t="s">
        <v>30</v>
      </c>
      <c r="M519" t="s">
        <v>75</v>
      </c>
      <c r="N519" t="s">
        <v>1659</v>
      </c>
      <c r="O519" s="2">
        <v>26</v>
      </c>
      <c r="P519">
        <v>2</v>
      </c>
      <c r="Q519" s="3">
        <v>0</v>
      </c>
      <c r="R519" s="2">
        <v>10.8</v>
      </c>
      <c r="S519" s="2">
        <v>0.43</v>
      </c>
      <c r="T519" t="s">
        <v>33</v>
      </c>
      <c r="U519">
        <v>2012</v>
      </c>
    </row>
    <row r="520" spans="1:21" x14ac:dyDescent="0.3">
      <c r="A520" t="s">
        <v>2281</v>
      </c>
      <c r="B520" s="1">
        <v>41114</v>
      </c>
      <c r="C520" s="1">
        <v>41120</v>
      </c>
      <c r="D520" t="s">
        <v>22</v>
      </c>
      <c r="E520" t="s">
        <v>2282</v>
      </c>
      <c r="F520" t="s">
        <v>54</v>
      </c>
      <c r="G520" t="s">
        <v>602</v>
      </c>
      <c r="H520" t="s">
        <v>602</v>
      </c>
      <c r="I520" t="s">
        <v>39</v>
      </c>
      <c r="J520" t="s">
        <v>57</v>
      </c>
      <c r="K520" t="s">
        <v>2283</v>
      </c>
      <c r="L520" t="s">
        <v>59</v>
      </c>
      <c r="M520" t="s">
        <v>339</v>
      </c>
      <c r="N520" t="s">
        <v>2284</v>
      </c>
      <c r="O520" s="2">
        <v>449</v>
      </c>
      <c r="P520">
        <v>4</v>
      </c>
      <c r="Q520" s="3">
        <v>0</v>
      </c>
      <c r="R520" s="2">
        <v>35.840000000000003</v>
      </c>
      <c r="S520" s="2">
        <v>24.37</v>
      </c>
      <c r="T520" t="s">
        <v>33</v>
      </c>
      <c r="U520">
        <v>2012</v>
      </c>
    </row>
    <row r="521" spans="1:21" x14ac:dyDescent="0.3">
      <c r="A521" t="s">
        <v>2285</v>
      </c>
      <c r="B521" s="1">
        <v>41844</v>
      </c>
      <c r="C521" s="1">
        <v>41848</v>
      </c>
      <c r="D521" t="s">
        <v>45</v>
      </c>
      <c r="E521" t="s">
        <v>2270</v>
      </c>
      <c r="F521" t="s">
        <v>36</v>
      </c>
      <c r="G521" t="s">
        <v>2286</v>
      </c>
      <c r="H521" t="s">
        <v>564</v>
      </c>
      <c r="I521" t="s">
        <v>49</v>
      </c>
      <c r="J521" t="s">
        <v>57</v>
      </c>
      <c r="K521" t="s">
        <v>2287</v>
      </c>
      <c r="L521" t="s">
        <v>146</v>
      </c>
      <c r="M521" t="s">
        <v>147</v>
      </c>
      <c r="N521" t="s">
        <v>2288</v>
      </c>
      <c r="O521" s="2">
        <v>260</v>
      </c>
      <c r="P521">
        <v>4</v>
      </c>
      <c r="Q521" s="3">
        <v>0.5</v>
      </c>
      <c r="R521" s="2">
        <v>-145.44</v>
      </c>
      <c r="S521" s="2">
        <v>34.82</v>
      </c>
      <c r="T521" t="s">
        <v>33</v>
      </c>
      <c r="U521">
        <v>2014</v>
      </c>
    </row>
    <row r="522" spans="1:21" x14ac:dyDescent="0.3">
      <c r="A522" t="s">
        <v>2289</v>
      </c>
      <c r="B522" s="1">
        <v>41950</v>
      </c>
      <c r="C522" s="1">
        <v>41954</v>
      </c>
      <c r="D522" t="s">
        <v>22</v>
      </c>
      <c r="E522" t="s">
        <v>150</v>
      </c>
      <c r="F522" t="s">
        <v>54</v>
      </c>
      <c r="G522" t="s">
        <v>351</v>
      </c>
      <c r="H522" t="s">
        <v>56</v>
      </c>
      <c r="I522" t="s">
        <v>49</v>
      </c>
      <c r="J522" t="s">
        <v>57</v>
      </c>
      <c r="K522" t="s">
        <v>2290</v>
      </c>
      <c r="L522" t="s">
        <v>146</v>
      </c>
      <c r="M522" t="s">
        <v>271</v>
      </c>
      <c r="N522" t="s">
        <v>2291</v>
      </c>
      <c r="O522" s="2">
        <v>227</v>
      </c>
      <c r="P522">
        <v>8</v>
      </c>
      <c r="Q522" s="3">
        <v>0</v>
      </c>
      <c r="R522" s="2">
        <v>101.76</v>
      </c>
      <c r="S522" s="2">
        <v>15.58</v>
      </c>
      <c r="T522" t="s">
        <v>33</v>
      </c>
      <c r="U522">
        <v>2014</v>
      </c>
    </row>
    <row r="523" spans="1:21" x14ac:dyDescent="0.3">
      <c r="A523" t="s">
        <v>2292</v>
      </c>
      <c r="B523" s="1">
        <v>41475</v>
      </c>
      <c r="C523" s="1">
        <v>41479</v>
      </c>
      <c r="D523" t="s">
        <v>22</v>
      </c>
      <c r="E523" t="s">
        <v>1001</v>
      </c>
      <c r="F523" t="s">
        <v>54</v>
      </c>
      <c r="G523" t="s">
        <v>286</v>
      </c>
      <c r="H523" t="s">
        <v>48</v>
      </c>
      <c r="I523" t="s">
        <v>49</v>
      </c>
      <c r="J523" t="s">
        <v>40</v>
      </c>
      <c r="K523" t="s">
        <v>2293</v>
      </c>
      <c r="L523" t="s">
        <v>30</v>
      </c>
      <c r="M523" t="s">
        <v>90</v>
      </c>
      <c r="N523" t="s">
        <v>2294</v>
      </c>
      <c r="O523" s="2">
        <v>486</v>
      </c>
      <c r="P523">
        <v>10</v>
      </c>
      <c r="Q523" s="3">
        <v>0</v>
      </c>
      <c r="R523" s="2">
        <v>208.8</v>
      </c>
      <c r="S523" s="2">
        <v>46.89</v>
      </c>
      <c r="T523" t="s">
        <v>99</v>
      </c>
      <c r="U523">
        <v>2013</v>
      </c>
    </row>
    <row r="524" spans="1:21" x14ac:dyDescent="0.3">
      <c r="A524" t="s">
        <v>2295</v>
      </c>
      <c r="B524" s="1">
        <v>41766</v>
      </c>
      <c r="C524" s="1">
        <v>41772</v>
      </c>
      <c r="D524" t="s">
        <v>22</v>
      </c>
      <c r="E524" t="s">
        <v>692</v>
      </c>
      <c r="F524" t="s">
        <v>24</v>
      </c>
      <c r="G524" t="s">
        <v>758</v>
      </c>
      <c r="H524" t="s">
        <v>144</v>
      </c>
      <c r="I524" t="s">
        <v>117</v>
      </c>
      <c r="J524" t="s">
        <v>117</v>
      </c>
      <c r="K524" t="s">
        <v>2296</v>
      </c>
      <c r="L524" t="s">
        <v>30</v>
      </c>
      <c r="M524" t="s">
        <v>90</v>
      </c>
      <c r="N524" t="s">
        <v>238</v>
      </c>
      <c r="O524" s="2">
        <v>55</v>
      </c>
      <c r="P524">
        <v>4</v>
      </c>
      <c r="Q524" s="3">
        <v>0.7</v>
      </c>
      <c r="R524" s="2">
        <v>-121.944</v>
      </c>
      <c r="S524" s="2">
        <v>5.05</v>
      </c>
      <c r="T524" t="s">
        <v>33</v>
      </c>
      <c r="U524">
        <v>2014</v>
      </c>
    </row>
    <row r="525" spans="1:21" x14ac:dyDescent="0.3">
      <c r="A525" t="s">
        <v>2297</v>
      </c>
      <c r="B525" s="1">
        <v>40744</v>
      </c>
      <c r="C525" s="1">
        <v>40748</v>
      </c>
      <c r="D525" t="s">
        <v>22</v>
      </c>
      <c r="E525" t="s">
        <v>2298</v>
      </c>
      <c r="F525" t="s">
        <v>36</v>
      </c>
      <c r="G525" t="s">
        <v>569</v>
      </c>
      <c r="H525" t="s">
        <v>135</v>
      </c>
      <c r="I525" t="s">
        <v>136</v>
      </c>
      <c r="J525" t="s">
        <v>57</v>
      </c>
      <c r="K525" t="s">
        <v>2299</v>
      </c>
      <c r="L525" t="s">
        <v>59</v>
      </c>
      <c r="M525" t="s">
        <v>139</v>
      </c>
      <c r="N525" t="s">
        <v>2300</v>
      </c>
      <c r="O525" s="2">
        <v>981</v>
      </c>
      <c r="P525">
        <v>2</v>
      </c>
      <c r="Q525" s="3">
        <v>0.3</v>
      </c>
      <c r="R525" s="2">
        <v>-140.196</v>
      </c>
      <c r="S525" s="2">
        <v>85.32</v>
      </c>
      <c r="T525" t="s">
        <v>99</v>
      </c>
      <c r="U525">
        <v>2011</v>
      </c>
    </row>
    <row r="526" spans="1:21" x14ac:dyDescent="0.3">
      <c r="A526" t="s">
        <v>2301</v>
      </c>
      <c r="B526" s="1">
        <v>41159</v>
      </c>
      <c r="C526" s="1">
        <v>41164</v>
      </c>
      <c r="D526" t="s">
        <v>22</v>
      </c>
      <c r="E526" t="s">
        <v>1057</v>
      </c>
      <c r="F526" t="s">
        <v>54</v>
      </c>
      <c r="G526" t="s">
        <v>697</v>
      </c>
      <c r="H526" t="s">
        <v>654</v>
      </c>
      <c r="I526" t="s">
        <v>117</v>
      </c>
      <c r="J526" t="s">
        <v>117</v>
      </c>
      <c r="K526" t="s">
        <v>1124</v>
      </c>
      <c r="L526" t="s">
        <v>30</v>
      </c>
      <c r="M526" t="s">
        <v>31</v>
      </c>
      <c r="N526" t="s">
        <v>1125</v>
      </c>
      <c r="O526" s="2">
        <v>35</v>
      </c>
      <c r="P526">
        <v>4</v>
      </c>
      <c r="Q526" s="3">
        <v>0</v>
      </c>
      <c r="R526" s="2">
        <v>16.079999999999998</v>
      </c>
      <c r="S526" s="2">
        <v>0.74</v>
      </c>
      <c r="T526" t="s">
        <v>33</v>
      </c>
      <c r="U526">
        <v>2012</v>
      </c>
    </row>
    <row r="527" spans="1:21" x14ac:dyDescent="0.3">
      <c r="A527" t="s">
        <v>2302</v>
      </c>
      <c r="B527" s="1">
        <v>40701</v>
      </c>
      <c r="C527" s="1">
        <v>40708</v>
      </c>
      <c r="D527" t="s">
        <v>22</v>
      </c>
      <c r="E527" t="s">
        <v>2240</v>
      </c>
      <c r="F527" t="s">
        <v>54</v>
      </c>
      <c r="G527" t="s">
        <v>1458</v>
      </c>
      <c r="H527" t="s">
        <v>1147</v>
      </c>
      <c r="I527" t="s">
        <v>39</v>
      </c>
      <c r="J527" t="s">
        <v>129</v>
      </c>
      <c r="K527" t="s">
        <v>2303</v>
      </c>
      <c r="L527" t="s">
        <v>146</v>
      </c>
      <c r="M527" t="s">
        <v>347</v>
      </c>
      <c r="N527" t="s">
        <v>2304</v>
      </c>
      <c r="O527" s="2">
        <v>759</v>
      </c>
      <c r="P527">
        <v>3</v>
      </c>
      <c r="Q527" s="3">
        <v>2E-3</v>
      </c>
      <c r="R527" s="2">
        <v>44.079000000000001</v>
      </c>
      <c r="S527" s="2">
        <v>43.12</v>
      </c>
      <c r="T527" t="s">
        <v>33</v>
      </c>
      <c r="U527">
        <v>2011</v>
      </c>
    </row>
    <row r="528" spans="1:21" x14ac:dyDescent="0.3">
      <c r="A528" t="s">
        <v>2305</v>
      </c>
      <c r="B528" s="1">
        <v>41109</v>
      </c>
      <c r="C528" s="1">
        <v>41115</v>
      </c>
      <c r="D528" t="s">
        <v>22</v>
      </c>
      <c r="E528" t="s">
        <v>1686</v>
      </c>
      <c r="F528" t="s">
        <v>24</v>
      </c>
      <c r="G528" t="s">
        <v>2306</v>
      </c>
      <c r="H528" t="s">
        <v>72</v>
      </c>
      <c r="I528" t="s">
        <v>27</v>
      </c>
      <c r="J528" t="s">
        <v>73</v>
      </c>
      <c r="K528" t="s">
        <v>2307</v>
      </c>
      <c r="L528" t="s">
        <v>30</v>
      </c>
      <c r="M528" t="s">
        <v>105</v>
      </c>
      <c r="N528" t="s">
        <v>2308</v>
      </c>
      <c r="O528" s="2">
        <v>68</v>
      </c>
      <c r="P528">
        <v>2</v>
      </c>
      <c r="Q528" s="3">
        <v>0</v>
      </c>
      <c r="R528" s="2">
        <v>0</v>
      </c>
      <c r="S528" s="2">
        <v>1.91</v>
      </c>
      <c r="T528" t="s">
        <v>33</v>
      </c>
      <c r="U528">
        <v>2012</v>
      </c>
    </row>
    <row r="529" spans="1:21" x14ac:dyDescent="0.3">
      <c r="A529" t="s">
        <v>2309</v>
      </c>
      <c r="B529" s="1">
        <v>41471</v>
      </c>
      <c r="C529" s="1">
        <v>41477</v>
      </c>
      <c r="D529" t="s">
        <v>22</v>
      </c>
      <c r="E529" t="s">
        <v>533</v>
      </c>
      <c r="F529" t="s">
        <v>24</v>
      </c>
      <c r="G529" t="s">
        <v>512</v>
      </c>
      <c r="H529" t="s">
        <v>152</v>
      </c>
      <c r="I529" t="s">
        <v>27</v>
      </c>
      <c r="J529" t="s">
        <v>153</v>
      </c>
      <c r="K529" t="s">
        <v>1844</v>
      </c>
      <c r="L529" t="s">
        <v>59</v>
      </c>
      <c r="M529" t="s">
        <v>60</v>
      </c>
      <c r="N529" t="s">
        <v>1845</v>
      </c>
      <c r="O529" s="2">
        <v>22</v>
      </c>
      <c r="P529">
        <v>1</v>
      </c>
      <c r="Q529" s="3">
        <v>0</v>
      </c>
      <c r="R529" s="2">
        <v>3.78</v>
      </c>
      <c r="S529" s="2">
        <v>3.57</v>
      </c>
      <c r="T529" t="s">
        <v>77</v>
      </c>
      <c r="U529">
        <v>2013</v>
      </c>
    </row>
    <row r="530" spans="1:21" x14ac:dyDescent="0.3">
      <c r="A530" t="s">
        <v>2310</v>
      </c>
      <c r="B530" s="1">
        <v>41585</v>
      </c>
      <c r="C530" s="1">
        <v>41591</v>
      </c>
      <c r="D530" t="s">
        <v>22</v>
      </c>
      <c r="E530" t="s">
        <v>2311</v>
      </c>
      <c r="F530" t="s">
        <v>54</v>
      </c>
      <c r="G530" t="s">
        <v>1146</v>
      </c>
      <c r="H530" t="s">
        <v>1147</v>
      </c>
      <c r="I530" t="s">
        <v>39</v>
      </c>
      <c r="J530" t="s">
        <v>129</v>
      </c>
      <c r="K530" t="s">
        <v>2312</v>
      </c>
      <c r="L530" t="s">
        <v>59</v>
      </c>
      <c r="M530" t="s">
        <v>139</v>
      </c>
      <c r="N530" t="s">
        <v>2313</v>
      </c>
      <c r="O530" s="2">
        <v>229</v>
      </c>
      <c r="P530">
        <v>3</v>
      </c>
      <c r="Q530" s="3">
        <v>0.2</v>
      </c>
      <c r="R530" s="2">
        <v>0</v>
      </c>
      <c r="S530" s="2">
        <v>13.04</v>
      </c>
      <c r="T530" t="s">
        <v>33</v>
      </c>
      <c r="U530">
        <v>2013</v>
      </c>
    </row>
    <row r="531" spans="1:21" x14ac:dyDescent="0.3">
      <c r="A531" t="s">
        <v>2314</v>
      </c>
      <c r="B531" s="1">
        <v>41113</v>
      </c>
      <c r="C531" s="1">
        <v>41116</v>
      </c>
      <c r="D531" t="s">
        <v>45</v>
      </c>
      <c r="E531" t="s">
        <v>2298</v>
      </c>
      <c r="F531" t="s">
        <v>36</v>
      </c>
      <c r="G531" t="s">
        <v>2315</v>
      </c>
      <c r="H531" t="s">
        <v>518</v>
      </c>
      <c r="I531" t="s">
        <v>117</v>
      </c>
      <c r="J531" t="s">
        <v>117</v>
      </c>
      <c r="K531" t="s">
        <v>2316</v>
      </c>
      <c r="L531" t="s">
        <v>30</v>
      </c>
      <c r="M531" t="s">
        <v>31</v>
      </c>
      <c r="N531" t="s">
        <v>2317</v>
      </c>
      <c r="O531" s="2">
        <v>34</v>
      </c>
      <c r="P531">
        <v>2</v>
      </c>
      <c r="Q531" s="3">
        <v>0</v>
      </c>
      <c r="R531" s="2">
        <v>0.96</v>
      </c>
      <c r="S531" s="2">
        <v>4.76</v>
      </c>
      <c r="T531" t="s">
        <v>99</v>
      </c>
      <c r="U531">
        <v>2012</v>
      </c>
    </row>
    <row r="532" spans="1:21" x14ac:dyDescent="0.3">
      <c r="A532" t="s">
        <v>2318</v>
      </c>
      <c r="B532" s="1">
        <v>40738</v>
      </c>
      <c r="C532" s="1">
        <v>40744</v>
      </c>
      <c r="D532" t="s">
        <v>22</v>
      </c>
      <c r="E532" t="s">
        <v>2319</v>
      </c>
      <c r="F532" t="s">
        <v>24</v>
      </c>
      <c r="G532" t="s">
        <v>2320</v>
      </c>
      <c r="H532" t="s">
        <v>38</v>
      </c>
      <c r="I532" t="s">
        <v>39</v>
      </c>
      <c r="J532" t="s">
        <v>40</v>
      </c>
      <c r="K532" t="s">
        <v>2321</v>
      </c>
      <c r="L532" t="s">
        <v>30</v>
      </c>
      <c r="M532" t="s">
        <v>370</v>
      </c>
      <c r="N532" t="s">
        <v>2322</v>
      </c>
      <c r="O532" s="2">
        <v>41</v>
      </c>
      <c r="P532">
        <v>3</v>
      </c>
      <c r="Q532" s="3">
        <v>0.6</v>
      </c>
      <c r="R532" s="2">
        <v>-35.088000000000001</v>
      </c>
      <c r="S532" s="2">
        <v>5.07</v>
      </c>
      <c r="T532" t="s">
        <v>77</v>
      </c>
      <c r="U532">
        <v>2011</v>
      </c>
    </row>
    <row r="533" spans="1:21" x14ac:dyDescent="0.3">
      <c r="A533" t="s">
        <v>2323</v>
      </c>
      <c r="B533" s="1">
        <v>41111</v>
      </c>
      <c r="C533" s="1">
        <v>41115</v>
      </c>
      <c r="D533" t="s">
        <v>22</v>
      </c>
      <c r="E533" t="s">
        <v>757</v>
      </c>
      <c r="F533" t="s">
        <v>36</v>
      </c>
      <c r="G533" t="s">
        <v>143</v>
      </c>
      <c r="H533" t="s">
        <v>144</v>
      </c>
      <c r="I533" t="s">
        <v>117</v>
      </c>
      <c r="J533" t="s">
        <v>117</v>
      </c>
      <c r="K533" t="s">
        <v>2324</v>
      </c>
      <c r="L533" t="s">
        <v>30</v>
      </c>
      <c r="M533" t="s">
        <v>66</v>
      </c>
      <c r="N533" t="s">
        <v>2325</v>
      </c>
      <c r="O533" s="2">
        <v>60</v>
      </c>
      <c r="P533">
        <v>1</v>
      </c>
      <c r="Q533" s="3">
        <v>0.7</v>
      </c>
      <c r="R533" s="2">
        <v>-49.634999999999998</v>
      </c>
      <c r="S533" s="2">
        <v>2.54</v>
      </c>
      <c r="T533" t="s">
        <v>33</v>
      </c>
      <c r="U533">
        <v>2012</v>
      </c>
    </row>
    <row r="534" spans="1:21" x14ac:dyDescent="0.3">
      <c r="A534" t="s">
        <v>2326</v>
      </c>
      <c r="B534" s="1">
        <v>40823</v>
      </c>
      <c r="C534" s="1">
        <v>40825</v>
      </c>
      <c r="D534" t="s">
        <v>45</v>
      </c>
      <c r="E534" t="s">
        <v>1199</v>
      </c>
      <c r="F534" t="s">
        <v>54</v>
      </c>
      <c r="G534" t="s">
        <v>2327</v>
      </c>
      <c r="H534" t="s">
        <v>103</v>
      </c>
      <c r="I534" t="s">
        <v>39</v>
      </c>
      <c r="J534" t="s">
        <v>57</v>
      </c>
      <c r="K534" t="s">
        <v>1459</v>
      </c>
      <c r="L534" t="s">
        <v>30</v>
      </c>
      <c r="M534" t="s">
        <v>31</v>
      </c>
      <c r="N534" t="s">
        <v>1460</v>
      </c>
      <c r="O534" s="2">
        <v>13</v>
      </c>
      <c r="P534">
        <v>4</v>
      </c>
      <c r="Q534" s="3">
        <v>0.4</v>
      </c>
      <c r="R534" s="2">
        <v>-1.744</v>
      </c>
      <c r="S534" s="2">
        <v>2.67</v>
      </c>
      <c r="T534" t="s">
        <v>99</v>
      </c>
      <c r="U534">
        <v>2011</v>
      </c>
    </row>
    <row r="535" spans="1:21" x14ac:dyDescent="0.3">
      <c r="A535" t="s">
        <v>2328</v>
      </c>
      <c r="B535" s="1">
        <v>41401</v>
      </c>
      <c r="C535" s="1">
        <v>41406</v>
      </c>
      <c r="D535" t="s">
        <v>45</v>
      </c>
      <c r="E535" t="s">
        <v>2329</v>
      </c>
      <c r="F535" t="s">
        <v>36</v>
      </c>
      <c r="G535" t="s">
        <v>315</v>
      </c>
      <c r="H535" t="s">
        <v>316</v>
      </c>
      <c r="I535" t="s">
        <v>27</v>
      </c>
      <c r="J535" t="s">
        <v>212</v>
      </c>
      <c r="K535" t="s">
        <v>2330</v>
      </c>
      <c r="L535" t="s">
        <v>146</v>
      </c>
      <c r="M535" t="s">
        <v>271</v>
      </c>
      <c r="N535" t="s">
        <v>2331</v>
      </c>
      <c r="O535" s="2">
        <v>96</v>
      </c>
      <c r="P535">
        <v>2</v>
      </c>
      <c r="Q535" s="3">
        <v>0.1</v>
      </c>
      <c r="R535" s="2">
        <v>20.148</v>
      </c>
      <c r="S535" s="2">
        <v>12.71</v>
      </c>
      <c r="T535" t="s">
        <v>33</v>
      </c>
      <c r="U535">
        <v>2013</v>
      </c>
    </row>
    <row r="536" spans="1:21" x14ac:dyDescent="0.3">
      <c r="A536" t="s">
        <v>2332</v>
      </c>
      <c r="B536" s="1">
        <v>41919</v>
      </c>
      <c r="C536" s="1">
        <v>41925</v>
      </c>
      <c r="D536" t="s">
        <v>22</v>
      </c>
      <c r="E536" t="s">
        <v>2333</v>
      </c>
      <c r="F536" t="s">
        <v>36</v>
      </c>
      <c r="G536" t="s">
        <v>395</v>
      </c>
      <c r="H536" t="s">
        <v>135</v>
      </c>
      <c r="I536" t="s">
        <v>136</v>
      </c>
      <c r="J536" t="s">
        <v>396</v>
      </c>
      <c r="K536" t="s">
        <v>2334</v>
      </c>
      <c r="L536" t="s">
        <v>30</v>
      </c>
      <c r="M536" t="s">
        <v>105</v>
      </c>
      <c r="N536" t="s">
        <v>2335</v>
      </c>
      <c r="O536" s="2">
        <v>17</v>
      </c>
      <c r="P536">
        <v>3</v>
      </c>
      <c r="Q536" s="3">
        <v>0</v>
      </c>
      <c r="R536" s="2">
        <v>7.6680000000000001</v>
      </c>
      <c r="S536" s="2">
        <v>1.57</v>
      </c>
      <c r="T536" t="s">
        <v>33</v>
      </c>
      <c r="U536">
        <v>2014</v>
      </c>
    </row>
    <row r="537" spans="1:21" x14ac:dyDescent="0.3">
      <c r="A537" t="s">
        <v>2336</v>
      </c>
      <c r="B537" s="1">
        <v>41493</v>
      </c>
      <c r="C537" s="1">
        <v>41500</v>
      </c>
      <c r="D537" t="s">
        <v>22</v>
      </c>
      <c r="E537" t="s">
        <v>2337</v>
      </c>
      <c r="F537" t="s">
        <v>24</v>
      </c>
      <c r="G537" t="s">
        <v>827</v>
      </c>
      <c r="H537" t="s">
        <v>72</v>
      </c>
      <c r="I537" t="s">
        <v>27</v>
      </c>
      <c r="J537" t="s">
        <v>73</v>
      </c>
      <c r="K537" t="s">
        <v>2338</v>
      </c>
      <c r="L537" t="s">
        <v>59</v>
      </c>
      <c r="M537" t="s">
        <v>339</v>
      </c>
      <c r="N537" t="s">
        <v>2339</v>
      </c>
      <c r="O537" s="2">
        <v>840</v>
      </c>
      <c r="P537">
        <v>5</v>
      </c>
      <c r="Q537" s="3">
        <v>0</v>
      </c>
      <c r="R537" s="2">
        <v>100.8</v>
      </c>
      <c r="S537" s="2">
        <v>172.19</v>
      </c>
      <c r="T537" t="s">
        <v>77</v>
      </c>
      <c r="U537">
        <v>2013</v>
      </c>
    </row>
    <row r="538" spans="1:21" x14ac:dyDescent="0.3">
      <c r="A538" t="s">
        <v>2340</v>
      </c>
      <c r="B538" s="1">
        <v>41950</v>
      </c>
      <c r="C538" s="1">
        <v>41955</v>
      </c>
      <c r="D538" t="s">
        <v>22</v>
      </c>
      <c r="E538" t="s">
        <v>2341</v>
      </c>
      <c r="F538" t="s">
        <v>54</v>
      </c>
      <c r="G538" t="s">
        <v>134</v>
      </c>
      <c r="H538" t="s">
        <v>135</v>
      </c>
      <c r="I538" t="s">
        <v>136</v>
      </c>
      <c r="J538" t="s">
        <v>137</v>
      </c>
      <c r="K538" t="s">
        <v>953</v>
      </c>
      <c r="L538" t="s">
        <v>59</v>
      </c>
      <c r="M538" t="s">
        <v>60</v>
      </c>
      <c r="N538" t="s">
        <v>954</v>
      </c>
      <c r="O538" s="2">
        <v>9</v>
      </c>
      <c r="P538">
        <v>1</v>
      </c>
      <c r="Q538" s="3">
        <v>0</v>
      </c>
      <c r="R538" s="2">
        <v>2.9681999999999999</v>
      </c>
      <c r="S538" s="2">
        <v>0.56999999999999995</v>
      </c>
      <c r="T538" t="s">
        <v>33</v>
      </c>
      <c r="U538">
        <v>2014</v>
      </c>
    </row>
    <row r="539" spans="1:21" x14ac:dyDescent="0.3">
      <c r="A539" t="s">
        <v>2342</v>
      </c>
      <c r="B539" s="1">
        <v>41113</v>
      </c>
      <c r="C539" s="1">
        <v>41117</v>
      </c>
      <c r="D539" t="s">
        <v>22</v>
      </c>
      <c r="E539" t="s">
        <v>2343</v>
      </c>
      <c r="F539" t="s">
        <v>54</v>
      </c>
      <c r="G539" t="s">
        <v>223</v>
      </c>
      <c r="H539" t="s">
        <v>224</v>
      </c>
      <c r="I539" t="s">
        <v>49</v>
      </c>
      <c r="J539" t="s">
        <v>40</v>
      </c>
      <c r="K539" t="s">
        <v>2344</v>
      </c>
      <c r="L539" t="s">
        <v>30</v>
      </c>
      <c r="M539" t="s">
        <v>42</v>
      </c>
      <c r="N539" t="s">
        <v>2345</v>
      </c>
      <c r="O539" s="2">
        <v>1142</v>
      </c>
      <c r="P539">
        <v>2</v>
      </c>
      <c r="Q539" s="3">
        <v>0</v>
      </c>
      <c r="R539" s="2">
        <v>411</v>
      </c>
      <c r="S539" s="2">
        <v>71.959999999999994</v>
      </c>
      <c r="T539" t="s">
        <v>33</v>
      </c>
      <c r="U539">
        <v>2012</v>
      </c>
    </row>
    <row r="540" spans="1:21" x14ac:dyDescent="0.3">
      <c r="A540" t="s">
        <v>2346</v>
      </c>
      <c r="B540" s="1">
        <v>41250</v>
      </c>
      <c r="C540" s="1">
        <v>41256</v>
      </c>
      <c r="D540" t="s">
        <v>22</v>
      </c>
      <c r="E540" t="s">
        <v>2347</v>
      </c>
      <c r="F540" t="s">
        <v>54</v>
      </c>
      <c r="G540" t="s">
        <v>2348</v>
      </c>
      <c r="H540" t="s">
        <v>1177</v>
      </c>
      <c r="I540" t="s">
        <v>27</v>
      </c>
      <c r="J540" t="s">
        <v>28</v>
      </c>
      <c r="K540" t="s">
        <v>2349</v>
      </c>
      <c r="L540" t="s">
        <v>30</v>
      </c>
      <c r="M540" t="s">
        <v>97</v>
      </c>
      <c r="N540" t="s">
        <v>2350</v>
      </c>
      <c r="O540" s="2">
        <v>23</v>
      </c>
      <c r="P540">
        <v>2</v>
      </c>
      <c r="Q540" s="3">
        <v>0.17</v>
      </c>
      <c r="R540" s="2">
        <v>6.726</v>
      </c>
      <c r="S540" s="2">
        <v>2.21</v>
      </c>
      <c r="T540" t="s">
        <v>33</v>
      </c>
      <c r="U540">
        <v>2012</v>
      </c>
    </row>
    <row r="541" spans="1:21" x14ac:dyDescent="0.3">
      <c r="A541" t="s">
        <v>2351</v>
      </c>
      <c r="B541" s="1">
        <v>41401</v>
      </c>
      <c r="C541" s="1">
        <v>41403</v>
      </c>
      <c r="D541" t="s">
        <v>84</v>
      </c>
      <c r="E541" t="s">
        <v>2352</v>
      </c>
      <c r="F541" t="s">
        <v>24</v>
      </c>
      <c r="G541" t="s">
        <v>1176</v>
      </c>
      <c r="H541" t="s">
        <v>1177</v>
      </c>
      <c r="I541" t="s">
        <v>27</v>
      </c>
      <c r="J541" t="s">
        <v>28</v>
      </c>
      <c r="K541" t="s">
        <v>2353</v>
      </c>
      <c r="L541" t="s">
        <v>30</v>
      </c>
      <c r="M541" t="s">
        <v>66</v>
      </c>
      <c r="N541" t="s">
        <v>970</v>
      </c>
      <c r="O541" s="2">
        <v>89</v>
      </c>
      <c r="P541">
        <v>6</v>
      </c>
      <c r="Q541" s="3">
        <v>0.17</v>
      </c>
      <c r="R541" s="2">
        <v>31.1706</v>
      </c>
      <c r="S541" s="2">
        <v>18.989999999999998</v>
      </c>
      <c r="T541" t="s">
        <v>99</v>
      </c>
      <c r="U541">
        <v>2013</v>
      </c>
    </row>
    <row r="542" spans="1:21" x14ac:dyDescent="0.3">
      <c r="A542" t="s">
        <v>2354</v>
      </c>
      <c r="B542" s="1">
        <v>41837</v>
      </c>
      <c r="C542" s="1">
        <v>41844</v>
      </c>
      <c r="D542" t="s">
        <v>22</v>
      </c>
      <c r="E542" t="s">
        <v>2355</v>
      </c>
      <c r="F542" t="s">
        <v>54</v>
      </c>
      <c r="G542" t="s">
        <v>2356</v>
      </c>
      <c r="H542" t="s">
        <v>1111</v>
      </c>
      <c r="I542" t="s">
        <v>88</v>
      </c>
      <c r="J542" t="s">
        <v>88</v>
      </c>
      <c r="K542" t="s">
        <v>2357</v>
      </c>
      <c r="L542" t="s">
        <v>30</v>
      </c>
      <c r="M542" t="s">
        <v>105</v>
      </c>
      <c r="N542" t="s">
        <v>2358</v>
      </c>
      <c r="O542" s="2">
        <v>95</v>
      </c>
      <c r="P542">
        <v>4</v>
      </c>
      <c r="Q542" s="3">
        <v>0</v>
      </c>
      <c r="R542" s="2">
        <v>24.72</v>
      </c>
      <c r="S542" s="2">
        <v>7.17</v>
      </c>
      <c r="T542" t="s">
        <v>33</v>
      </c>
      <c r="U542">
        <v>2014</v>
      </c>
    </row>
    <row r="543" spans="1:21" x14ac:dyDescent="0.3">
      <c r="A543" t="s">
        <v>2359</v>
      </c>
      <c r="B543" s="1">
        <v>41846</v>
      </c>
      <c r="C543" s="1">
        <v>41850</v>
      </c>
      <c r="D543" t="s">
        <v>22</v>
      </c>
      <c r="E543" t="s">
        <v>631</v>
      </c>
      <c r="F543" t="s">
        <v>54</v>
      </c>
      <c r="G543" t="s">
        <v>2360</v>
      </c>
      <c r="H543" t="s">
        <v>38</v>
      </c>
      <c r="I543" t="s">
        <v>39</v>
      </c>
      <c r="J543" t="s">
        <v>40</v>
      </c>
      <c r="K543" t="s">
        <v>2361</v>
      </c>
      <c r="L543" t="s">
        <v>30</v>
      </c>
      <c r="M543" t="s">
        <v>370</v>
      </c>
      <c r="N543" t="s">
        <v>2362</v>
      </c>
      <c r="O543" s="2">
        <v>79</v>
      </c>
      <c r="P543">
        <v>3</v>
      </c>
      <c r="Q543" s="3">
        <v>0</v>
      </c>
      <c r="R543" s="2">
        <v>18.12</v>
      </c>
      <c r="S543" s="2">
        <v>7.23</v>
      </c>
      <c r="T543" t="s">
        <v>33</v>
      </c>
      <c r="U543">
        <v>2014</v>
      </c>
    </row>
    <row r="544" spans="1:21" x14ac:dyDescent="0.3">
      <c r="A544" t="s">
        <v>2363</v>
      </c>
      <c r="B544" s="1">
        <v>41766</v>
      </c>
      <c r="C544" s="1">
        <v>41770</v>
      </c>
      <c r="D544" t="s">
        <v>22</v>
      </c>
      <c r="E544" t="s">
        <v>1486</v>
      </c>
      <c r="F544" t="s">
        <v>36</v>
      </c>
      <c r="G544" t="s">
        <v>2364</v>
      </c>
      <c r="H544" t="s">
        <v>2365</v>
      </c>
      <c r="I544" t="s">
        <v>27</v>
      </c>
      <c r="J544" t="s">
        <v>28</v>
      </c>
      <c r="K544" t="s">
        <v>2366</v>
      </c>
      <c r="L544" t="s">
        <v>146</v>
      </c>
      <c r="M544" t="s">
        <v>271</v>
      </c>
      <c r="N544" t="s">
        <v>2367</v>
      </c>
      <c r="O544" s="2">
        <v>347</v>
      </c>
      <c r="P544">
        <v>9</v>
      </c>
      <c r="Q544" s="3">
        <v>0.47</v>
      </c>
      <c r="R544" s="2">
        <v>-104.8518</v>
      </c>
      <c r="S544" s="2">
        <v>21.13</v>
      </c>
      <c r="T544" t="s">
        <v>99</v>
      </c>
      <c r="U544">
        <v>2014</v>
      </c>
    </row>
    <row r="545" spans="1:21" x14ac:dyDescent="0.3">
      <c r="A545" t="s">
        <v>2368</v>
      </c>
      <c r="B545" s="1">
        <v>41469</v>
      </c>
      <c r="C545" s="1">
        <v>41474</v>
      </c>
      <c r="D545" t="s">
        <v>22</v>
      </c>
      <c r="E545" t="s">
        <v>2369</v>
      </c>
      <c r="F545" t="s">
        <v>54</v>
      </c>
      <c r="G545" t="s">
        <v>2370</v>
      </c>
      <c r="H545" t="s">
        <v>2371</v>
      </c>
      <c r="I545" t="s">
        <v>117</v>
      </c>
      <c r="J545" t="s">
        <v>117</v>
      </c>
      <c r="K545" t="s">
        <v>2372</v>
      </c>
      <c r="L545" t="s">
        <v>30</v>
      </c>
      <c r="M545" t="s">
        <v>90</v>
      </c>
      <c r="N545" t="s">
        <v>2373</v>
      </c>
      <c r="O545" s="2">
        <v>190</v>
      </c>
      <c r="P545">
        <v>4</v>
      </c>
      <c r="Q545" s="3">
        <v>0</v>
      </c>
      <c r="R545" s="2">
        <v>9.48</v>
      </c>
      <c r="S545" s="2">
        <v>16.079999999999998</v>
      </c>
      <c r="T545" t="s">
        <v>33</v>
      </c>
      <c r="U545">
        <v>2013</v>
      </c>
    </row>
    <row r="546" spans="1:21" x14ac:dyDescent="0.3">
      <c r="A546" t="s">
        <v>2374</v>
      </c>
      <c r="B546" s="1">
        <v>41120</v>
      </c>
      <c r="C546" s="1">
        <v>41123</v>
      </c>
      <c r="D546" t="s">
        <v>45</v>
      </c>
      <c r="E546" t="s">
        <v>2375</v>
      </c>
      <c r="F546" t="s">
        <v>24</v>
      </c>
      <c r="G546" t="s">
        <v>1270</v>
      </c>
      <c r="H546" t="s">
        <v>1147</v>
      </c>
      <c r="I546" t="s">
        <v>39</v>
      </c>
      <c r="J546" t="s">
        <v>129</v>
      </c>
      <c r="K546" t="s">
        <v>2376</v>
      </c>
      <c r="L546" t="s">
        <v>30</v>
      </c>
      <c r="M546" t="s">
        <v>75</v>
      </c>
      <c r="N546" t="s">
        <v>2377</v>
      </c>
      <c r="O546" s="2">
        <v>7</v>
      </c>
      <c r="P546">
        <v>1</v>
      </c>
      <c r="Q546" s="3">
        <v>0</v>
      </c>
      <c r="R546" s="2">
        <v>2.38</v>
      </c>
      <c r="S546" s="2">
        <v>0.2</v>
      </c>
      <c r="T546" t="s">
        <v>33</v>
      </c>
      <c r="U546">
        <v>2012</v>
      </c>
    </row>
    <row r="547" spans="1:21" x14ac:dyDescent="0.3">
      <c r="A547" t="s">
        <v>2378</v>
      </c>
      <c r="B547" s="1">
        <v>40746</v>
      </c>
      <c r="C547" s="1">
        <v>40748</v>
      </c>
      <c r="D547" t="s">
        <v>45</v>
      </c>
      <c r="E547" t="s">
        <v>2379</v>
      </c>
      <c r="F547" t="s">
        <v>36</v>
      </c>
      <c r="G547" t="s">
        <v>127</v>
      </c>
      <c r="H547" t="s">
        <v>128</v>
      </c>
      <c r="I547" t="s">
        <v>49</v>
      </c>
      <c r="J547" t="s">
        <v>129</v>
      </c>
      <c r="K547" t="s">
        <v>287</v>
      </c>
      <c r="L547" t="s">
        <v>30</v>
      </c>
      <c r="M547" t="s">
        <v>31</v>
      </c>
      <c r="N547" t="s">
        <v>288</v>
      </c>
      <c r="O547" s="2">
        <v>12</v>
      </c>
      <c r="P547">
        <v>3</v>
      </c>
      <c r="Q547" s="3">
        <v>0</v>
      </c>
      <c r="R547" s="2">
        <v>1.08</v>
      </c>
      <c r="S547" s="2">
        <v>0.82</v>
      </c>
      <c r="T547" t="s">
        <v>33</v>
      </c>
      <c r="U547">
        <v>2011</v>
      </c>
    </row>
    <row r="548" spans="1:21" x14ac:dyDescent="0.3">
      <c r="A548" t="s">
        <v>2380</v>
      </c>
      <c r="B548" s="1">
        <v>41220</v>
      </c>
      <c r="C548" s="1">
        <v>41224</v>
      </c>
      <c r="D548" t="s">
        <v>22</v>
      </c>
      <c r="E548" t="s">
        <v>2381</v>
      </c>
      <c r="F548" t="s">
        <v>24</v>
      </c>
      <c r="G548" t="s">
        <v>722</v>
      </c>
      <c r="H548" t="s">
        <v>723</v>
      </c>
      <c r="I548" t="s">
        <v>27</v>
      </c>
      <c r="J548" t="s">
        <v>28</v>
      </c>
      <c r="K548" t="s">
        <v>1900</v>
      </c>
      <c r="L548" t="s">
        <v>59</v>
      </c>
      <c r="M548" t="s">
        <v>139</v>
      </c>
      <c r="N548" t="s">
        <v>1901</v>
      </c>
      <c r="O548" s="2">
        <v>698</v>
      </c>
      <c r="P548">
        <v>2</v>
      </c>
      <c r="Q548" s="3">
        <v>0.25</v>
      </c>
      <c r="R548" s="2">
        <v>-74.400000000000006</v>
      </c>
      <c r="S548" s="2">
        <v>72.709999999999994</v>
      </c>
      <c r="T548" t="s">
        <v>33</v>
      </c>
      <c r="U548">
        <v>2012</v>
      </c>
    </row>
    <row r="549" spans="1:21" x14ac:dyDescent="0.3">
      <c r="A549" t="s">
        <v>2382</v>
      </c>
      <c r="B549" s="1">
        <v>41471</v>
      </c>
      <c r="C549" s="1">
        <v>41476</v>
      </c>
      <c r="D549" t="s">
        <v>22</v>
      </c>
      <c r="E549" t="s">
        <v>2383</v>
      </c>
      <c r="F549" t="s">
        <v>24</v>
      </c>
      <c r="G549" t="s">
        <v>2384</v>
      </c>
      <c r="H549" t="s">
        <v>135</v>
      </c>
      <c r="I549" t="s">
        <v>136</v>
      </c>
      <c r="J549" t="s">
        <v>137</v>
      </c>
      <c r="K549" t="s">
        <v>2385</v>
      </c>
      <c r="L549" t="s">
        <v>59</v>
      </c>
      <c r="M549" t="s">
        <v>139</v>
      </c>
      <c r="N549" t="s">
        <v>2386</v>
      </c>
      <c r="O549" s="2">
        <v>230</v>
      </c>
      <c r="P549">
        <v>3</v>
      </c>
      <c r="Q549" s="3">
        <v>0.2</v>
      </c>
      <c r="R549" s="2">
        <v>23.027999999999999</v>
      </c>
      <c r="S549" s="2">
        <v>14.18</v>
      </c>
      <c r="T549" t="s">
        <v>33</v>
      </c>
      <c r="U549">
        <v>2013</v>
      </c>
    </row>
    <row r="550" spans="1:21" x14ac:dyDescent="0.3">
      <c r="A550" t="s">
        <v>2387</v>
      </c>
      <c r="B550" s="1">
        <v>41850</v>
      </c>
      <c r="C550" s="1">
        <v>41855</v>
      </c>
      <c r="D550" t="s">
        <v>22</v>
      </c>
      <c r="E550" t="s">
        <v>2388</v>
      </c>
      <c r="F550" t="s">
        <v>36</v>
      </c>
      <c r="G550" t="s">
        <v>1353</v>
      </c>
      <c r="H550" t="s">
        <v>48</v>
      </c>
      <c r="I550" t="s">
        <v>49</v>
      </c>
      <c r="J550" t="s">
        <v>40</v>
      </c>
      <c r="K550" t="s">
        <v>2389</v>
      </c>
      <c r="L550" t="s">
        <v>30</v>
      </c>
      <c r="M550" t="s">
        <v>75</v>
      </c>
      <c r="N550" t="s">
        <v>2390</v>
      </c>
      <c r="O550" s="2">
        <v>51</v>
      </c>
      <c r="P550">
        <v>7</v>
      </c>
      <c r="Q550" s="3">
        <v>0</v>
      </c>
      <c r="R550" s="2">
        <v>2.52</v>
      </c>
      <c r="S550" s="2">
        <v>5.93</v>
      </c>
      <c r="T550" t="s">
        <v>33</v>
      </c>
      <c r="U550">
        <v>2014</v>
      </c>
    </row>
    <row r="551" spans="1:21" x14ac:dyDescent="0.3">
      <c r="A551" t="s">
        <v>2391</v>
      </c>
      <c r="B551" s="1">
        <v>41834</v>
      </c>
      <c r="C551" s="1">
        <v>41836</v>
      </c>
      <c r="D551" t="s">
        <v>45</v>
      </c>
      <c r="E551" t="s">
        <v>2392</v>
      </c>
      <c r="F551" t="s">
        <v>54</v>
      </c>
      <c r="G551" t="s">
        <v>1504</v>
      </c>
      <c r="H551" t="s">
        <v>48</v>
      </c>
      <c r="I551" t="s">
        <v>49</v>
      </c>
      <c r="J551" t="s">
        <v>40</v>
      </c>
      <c r="K551" t="s">
        <v>2393</v>
      </c>
      <c r="L551" t="s">
        <v>146</v>
      </c>
      <c r="M551" t="s">
        <v>347</v>
      </c>
      <c r="N551" t="s">
        <v>2394</v>
      </c>
      <c r="O551" s="2">
        <v>446</v>
      </c>
      <c r="P551">
        <v>3</v>
      </c>
      <c r="Q551" s="3">
        <v>0</v>
      </c>
      <c r="R551" s="2">
        <v>53.46</v>
      </c>
      <c r="S551" s="2">
        <v>26.53</v>
      </c>
      <c r="T551" t="s">
        <v>33</v>
      </c>
      <c r="U551">
        <v>2014</v>
      </c>
    </row>
    <row r="552" spans="1:21" x14ac:dyDescent="0.3">
      <c r="A552" t="s">
        <v>2395</v>
      </c>
      <c r="B552" s="1">
        <v>40745</v>
      </c>
      <c r="C552" s="1">
        <v>40748</v>
      </c>
      <c r="D552" t="s">
        <v>84</v>
      </c>
      <c r="E552" t="s">
        <v>2396</v>
      </c>
      <c r="F552" t="s">
        <v>24</v>
      </c>
      <c r="G552" t="s">
        <v>414</v>
      </c>
      <c r="H552" t="s">
        <v>414</v>
      </c>
      <c r="I552" t="s">
        <v>39</v>
      </c>
      <c r="J552" t="s">
        <v>57</v>
      </c>
      <c r="K552" t="s">
        <v>2397</v>
      </c>
      <c r="L552" t="s">
        <v>146</v>
      </c>
      <c r="M552" t="s">
        <v>147</v>
      </c>
      <c r="N552" t="s">
        <v>2398</v>
      </c>
      <c r="O552" s="2">
        <v>146</v>
      </c>
      <c r="P552">
        <v>4</v>
      </c>
      <c r="Q552" s="3">
        <v>0.4</v>
      </c>
      <c r="R552" s="2">
        <v>-68.176000000000002</v>
      </c>
      <c r="S552" s="2">
        <v>18.600000000000001</v>
      </c>
      <c r="T552" t="s">
        <v>33</v>
      </c>
      <c r="U552">
        <v>2011</v>
      </c>
    </row>
    <row r="553" spans="1:21" x14ac:dyDescent="0.3">
      <c r="A553" t="s">
        <v>2399</v>
      </c>
      <c r="B553" s="1">
        <v>41836</v>
      </c>
      <c r="C553" s="1">
        <v>41841</v>
      </c>
      <c r="D553" t="s">
        <v>22</v>
      </c>
      <c r="E553" t="s">
        <v>2400</v>
      </c>
      <c r="F553" t="s">
        <v>54</v>
      </c>
      <c r="G553" t="s">
        <v>337</v>
      </c>
      <c r="H553" t="s">
        <v>316</v>
      </c>
      <c r="I553" t="s">
        <v>27</v>
      </c>
      <c r="J553" t="s">
        <v>212</v>
      </c>
      <c r="K553" t="s">
        <v>2401</v>
      </c>
      <c r="L553" t="s">
        <v>30</v>
      </c>
      <c r="M553" t="s">
        <v>370</v>
      </c>
      <c r="N553" t="s">
        <v>2402</v>
      </c>
      <c r="O553" s="2">
        <v>23</v>
      </c>
      <c r="P553">
        <v>1</v>
      </c>
      <c r="Q553" s="3">
        <v>0</v>
      </c>
      <c r="R553" s="2">
        <v>0.45</v>
      </c>
      <c r="S553" s="2">
        <v>1.67</v>
      </c>
      <c r="T553" t="s">
        <v>33</v>
      </c>
      <c r="U553">
        <v>2014</v>
      </c>
    </row>
    <row r="554" spans="1:21" x14ac:dyDescent="0.3">
      <c r="A554" t="s">
        <v>2403</v>
      </c>
      <c r="B554" s="1">
        <v>41120</v>
      </c>
      <c r="C554" s="1">
        <v>41122</v>
      </c>
      <c r="D554" t="s">
        <v>84</v>
      </c>
      <c r="E554" t="s">
        <v>2404</v>
      </c>
      <c r="F554" t="s">
        <v>24</v>
      </c>
      <c r="G554" t="s">
        <v>2405</v>
      </c>
      <c r="H554" t="s">
        <v>211</v>
      </c>
      <c r="I554" t="s">
        <v>27</v>
      </c>
      <c r="J554" t="s">
        <v>212</v>
      </c>
      <c r="K554" t="s">
        <v>2406</v>
      </c>
      <c r="L554" t="s">
        <v>59</v>
      </c>
      <c r="M554" t="s">
        <v>339</v>
      </c>
      <c r="N554" t="s">
        <v>2407</v>
      </c>
      <c r="O554" s="2">
        <v>243</v>
      </c>
      <c r="P554">
        <v>2</v>
      </c>
      <c r="Q554" s="3">
        <v>0</v>
      </c>
      <c r="R554" s="2">
        <v>102.06</v>
      </c>
      <c r="S554" s="2">
        <v>33.090000000000003</v>
      </c>
      <c r="T554" t="s">
        <v>99</v>
      </c>
      <c r="U554">
        <v>2012</v>
      </c>
    </row>
    <row r="555" spans="1:21" x14ac:dyDescent="0.3">
      <c r="A555" t="s">
        <v>2408</v>
      </c>
      <c r="B555" s="1">
        <v>41006</v>
      </c>
      <c r="C555" s="1">
        <v>41010</v>
      </c>
      <c r="D555" t="s">
        <v>22</v>
      </c>
      <c r="E555" t="s">
        <v>2409</v>
      </c>
      <c r="F555" t="s">
        <v>54</v>
      </c>
      <c r="G555" t="s">
        <v>569</v>
      </c>
      <c r="H555" t="s">
        <v>135</v>
      </c>
      <c r="I555" t="s">
        <v>136</v>
      </c>
      <c r="J555" t="s">
        <v>57</v>
      </c>
      <c r="K555" t="s">
        <v>2410</v>
      </c>
      <c r="L555" t="s">
        <v>146</v>
      </c>
      <c r="M555" t="s">
        <v>271</v>
      </c>
      <c r="N555" t="s">
        <v>2411</v>
      </c>
      <c r="O555" s="2">
        <v>384</v>
      </c>
      <c r="P555">
        <v>6</v>
      </c>
      <c r="Q555" s="3">
        <v>0.2</v>
      </c>
      <c r="R555" s="2">
        <v>47.994</v>
      </c>
      <c r="S555" s="2">
        <v>40.020000000000003</v>
      </c>
      <c r="T555" t="s">
        <v>33</v>
      </c>
      <c r="U555">
        <v>2012</v>
      </c>
    </row>
    <row r="556" spans="1:21" x14ac:dyDescent="0.3">
      <c r="A556" t="s">
        <v>2412</v>
      </c>
      <c r="B556" s="1">
        <v>41106</v>
      </c>
      <c r="C556" s="1">
        <v>41109</v>
      </c>
      <c r="D556" t="s">
        <v>84</v>
      </c>
      <c r="E556" t="s">
        <v>2413</v>
      </c>
      <c r="F556" t="s">
        <v>54</v>
      </c>
      <c r="G556" t="s">
        <v>2160</v>
      </c>
      <c r="H556" t="s">
        <v>56</v>
      </c>
      <c r="I556" t="s">
        <v>49</v>
      </c>
      <c r="J556" t="s">
        <v>57</v>
      </c>
      <c r="K556" t="s">
        <v>1988</v>
      </c>
      <c r="L556" t="s">
        <v>146</v>
      </c>
      <c r="M556" t="s">
        <v>147</v>
      </c>
      <c r="N556" t="s">
        <v>1989</v>
      </c>
      <c r="O556" s="2">
        <v>187</v>
      </c>
      <c r="P556">
        <v>3</v>
      </c>
      <c r="Q556" s="3">
        <v>0.15</v>
      </c>
      <c r="R556" s="2">
        <v>59.359499999999997</v>
      </c>
      <c r="S556" s="2">
        <v>25.7</v>
      </c>
      <c r="T556" t="s">
        <v>99</v>
      </c>
      <c r="U556">
        <v>2012</v>
      </c>
    </row>
    <row r="557" spans="1:21" x14ac:dyDescent="0.3">
      <c r="A557" t="s">
        <v>2414</v>
      </c>
      <c r="B557" s="1">
        <v>41478</v>
      </c>
      <c r="C557" s="1">
        <v>41480</v>
      </c>
      <c r="D557" t="s">
        <v>45</v>
      </c>
      <c r="E557" t="s">
        <v>2415</v>
      </c>
      <c r="F557" t="s">
        <v>24</v>
      </c>
      <c r="G557" t="s">
        <v>134</v>
      </c>
      <c r="H557" t="s">
        <v>135</v>
      </c>
      <c r="I557" t="s">
        <v>136</v>
      </c>
      <c r="J557" t="s">
        <v>137</v>
      </c>
      <c r="K557" t="s">
        <v>2416</v>
      </c>
      <c r="L557" t="s">
        <v>30</v>
      </c>
      <c r="M557" t="s">
        <v>75</v>
      </c>
      <c r="N557" t="s">
        <v>2417</v>
      </c>
      <c r="O557" s="2">
        <v>6</v>
      </c>
      <c r="P557">
        <v>2</v>
      </c>
      <c r="Q557" s="3">
        <v>0</v>
      </c>
      <c r="R557" s="2">
        <v>3.024</v>
      </c>
      <c r="S557" s="2">
        <v>1.6</v>
      </c>
      <c r="T557" t="s">
        <v>68</v>
      </c>
      <c r="U557">
        <v>2013</v>
      </c>
    </row>
    <row r="558" spans="1:21" x14ac:dyDescent="0.3">
      <c r="A558" t="s">
        <v>2418</v>
      </c>
      <c r="B558" s="1">
        <v>41116</v>
      </c>
      <c r="C558" s="1">
        <v>41121</v>
      </c>
      <c r="D558" t="s">
        <v>22</v>
      </c>
      <c r="E558" t="s">
        <v>2419</v>
      </c>
      <c r="F558" t="s">
        <v>54</v>
      </c>
      <c r="G558" t="s">
        <v>37</v>
      </c>
      <c r="H558" t="s">
        <v>38</v>
      </c>
      <c r="I558" t="s">
        <v>39</v>
      </c>
      <c r="J558" t="s">
        <v>40</v>
      </c>
      <c r="K558" t="s">
        <v>2420</v>
      </c>
      <c r="L558" t="s">
        <v>59</v>
      </c>
      <c r="M558" t="s">
        <v>139</v>
      </c>
      <c r="N558" t="s">
        <v>2421</v>
      </c>
      <c r="O558" s="2">
        <v>225</v>
      </c>
      <c r="P558">
        <v>4</v>
      </c>
      <c r="Q558" s="3">
        <v>0</v>
      </c>
      <c r="R558" s="2">
        <v>54</v>
      </c>
      <c r="S558" s="2">
        <v>13.73</v>
      </c>
      <c r="T558" t="s">
        <v>33</v>
      </c>
      <c r="U558">
        <v>2012</v>
      </c>
    </row>
    <row r="559" spans="1:21" x14ac:dyDescent="0.3">
      <c r="A559" t="s">
        <v>2422</v>
      </c>
      <c r="B559" s="1">
        <v>41839</v>
      </c>
      <c r="C559" s="1">
        <v>41841</v>
      </c>
      <c r="D559" t="s">
        <v>45</v>
      </c>
      <c r="E559" t="s">
        <v>2423</v>
      </c>
      <c r="F559" t="s">
        <v>54</v>
      </c>
      <c r="G559" t="s">
        <v>874</v>
      </c>
      <c r="H559" t="s">
        <v>875</v>
      </c>
      <c r="I559" t="s">
        <v>117</v>
      </c>
      <c r="J559" t="s">
        <v>117</v>
      </c>
      <c r="K559" t="s">
        <v>2424</v>
      </c>
      <c r="L559" t="s">
        <v>30</v>
      </c>
      <c r="M559" t="s">
        <v>90</v>
      </c>
      <c r="N559" t="s">
        <v>2425</v>
      </c>
      <c r="O559" s="2">
        <v>22</v>
      </c>
      <c r="P559">
        <v>1</v>
      </c>
      <c r="Q559" s="3">
        <v>0</v>
      </c>
      <c r="R559" s="2">
        <v>3.96</v>
      </c>
      <c r="S559" s="2">
        <v>2.99</v>
      </c>
      <c r="T559" t="s">
        <v>99</v>
      </c>
      <c r="U559">
        <v>2014</v>
      </c>
    </row>
    <row r="560" spans="1:21" x14ac:dyDescent="0.3">
      <c r="A560" t="s">
        <v>2426</v>
      </c>
      <c r="B560" s="1">
        <v>41471</v>
      </c>
      <c r="C560" s="1">
        <v>41475</v>
      </c>
      <c r="D560" t="s">
        <v>22</v>
      </c>
      <c r="E560" t="s">
        <v>2185</v>
      </c>
      <c r="F560" t="s">
        <v>36</v>
      </c>
      <c r="G560" t="s">
        <v>2427</v>
      </c>
      <c r="H560" t="s">
        <v>2428</v>
      </c>
      <c r="I560" t="s">
        <v>27</v>
      </c>
      <c r="J560" t="s">
        <v>73</v>
      </c>
      <c r="K560" t="s">
        <v>1574</v>
      </c>
      <c r="L560" t="s">
        <v>30</v>
      </c>
      <c r="M560" t="s">
        <v>31</v>
      </c>
      <c r="N560" t="s">
        <v>1575</v>
      </c>
      <c r="O560" s="2">
        <v>64</v>
      </c>
      <c r="P560">
        <v>6</v>
      </c>
      <c r="Q560" s="3">
        <v>0</v>
      </c>
      <c r="R560" s="2">
        <v>15.84</v>
      </c>
      <c r="S560" s="2">
        <v>2.96</v>
      </c>
      <c r="T560" t="s">
        <v>33</v>
      </c>
      <c r="U560">
        <v>2013</v>
      </c>
    </row>
    <row r="561" spans="1:21" x14ac:dyDescent="0.3">
      <c r="A561" t="s">
        <v>2429</v>
      </c>
      <c r="B561" s="1">
        <v>41103</v>
      </c>
      <c r="C561" s="1">
        <v>41107</v>
      </c>
      <c r="D561" t="s">
        <v>22</v>
      </c>
      <c r="E561" t="s">
        <v>1536</v>
      </c>
      <c r="F561" t="s">
        <v>54</v>
      </c>
      <c r="G561" t="s">
        <v>854</v>
      </c>
      <c r="H561" t="s">
        <v>56</v>
      </c>
      <c r="I561" t="s">
        <v>49</v>
      </c>
      <c r="J561" t="s">
        <v>57</v>
      </c>
      <c r="K561" t="s">
        <v>2430</v>
      </c>
      <c r="L561" t="s">
        <v>146</v>
      </c>
      <c r="M561" t="s">
        <v>347</v>
      </c>
      <c r="N561" t="s">
        <v>2431</v>
      </c>
      <c r="O561" s="2">
        <v>816</v>
      </c>
      <c r="P561">
        <v>3</v>
      </c>
      <c r="Q561" s="3">
        <v>0.15</v>
      </c>
      <c r="R561" s="2">
        <v>-95.994</v>
      </c>
      <c r="S561" s="2">
        <v>85.36</v>
      </c>
      <c r="T561" t="s">
        <v>99</v>
      </c>
      <c r="U561">
        <v>2012</v>
      </c>
    </row>
    <row r="562" spans="1:21" x14ac:dyDescent="0.3">
      <c r="A562" t="s">
        <v>2432</v>
      </c>
      <c r="B562" s="1">
        <v>40823</v>
      </c>
      <c r="C562" s="1">
        <v>40826</v>
      </c>
      <c r="D562" t="s">
        <v>84</v>
      </c>
      <c r="E562" t="s">
        <v>757</v>
      </c>
      <c r="F562" t="s">
        <v>36</v>
      </c>
      <c r="G562" t="s">
        <v>626</v>
      </c>
      <c r="H562" t="s">
        <v>627</v>
      </c>
      <c r="I562" t="s">
        <v>88</v>
      </c>
      <c r="J562" t="s">
        <v>88</v>
      </c>
      <c r="K562" t="s">
        <v>2433</v>
      </c>
      <c r="L562" t="s">
        <v>30</v>
      </c>
      <c r="M562" t="s">
        <v>66</v>
      </c>
      <c r="N562" t="s">
        <v>550</v>
      </c>
      <c r="O562" s="2">
        <v>47</v>
      </c>
      <c r="P562">
        <v>1</v>
      </c>
      <c r="Q562" s="3">
        <v>0</v>
      </c>
      <c r="R562" s="2">
        <v>18.329999999999998</v>
      </c>
      <c r="S562" s="2">
        <v>7.71</v>
      </c>
      <c r="T562" t="s">
        <v>68</v>
      </c>
      <c r="U562">
        <v>2011</v>
      </c>
    </row>
    <row r="563" spans="1:21" x14ac:dyDescent="0.3">
      <c r="A563" t="s">
        <v>2434</v>
      </c>
      <c r="B563" s="1">
        <v>40751</v>
      </c>
      <c r="C563" s="1">
        <v>40755</v>
      </c>
      <c r="D563" t="s">
        <v>45</v>
      </c>
      <c r="E563" t="s">
        <v>462</v>
      </c>
      <c r="F563" t="s">
        <v>54</v>
      </c>
      <c r="G563" t="s">
        <v>1967</v>
      </c>
      <c r="H563" t="s">
        <v>316</v>
      </c>
      <c r="I563" t="s">
        <v>27</v>
      </c>
      <c r="J563" t="s">
        <v>212</v>
      </c>
      <c r="K563" t="s">
        <v>2435</v>
      </c>
      <c r="L563" t="s">
        <v>59</v>
      </c>
      <c r="M563" t="s">
        <v>139</v>
      </c>
      <c r="N563" t="s">
        <v>2436</v>
      </c>
      <c r="O563" s="2">
        <v>267</v>
      </c>
      <c r="P563">
        <v>4</v>
      </c>
      <c r="Q563" s="3">
        <v>0.1</v>
      </c>
      <c r="R563" s="2">
        <v>-26.82</v>
      </c>
      <c r="S563" s="2">
        <v>17.829999999999998</v>
      </c>
      <c r="T563" t="s">
        <v>99</v>
      </c>
      <c r="U563">
        <v>2011</v>
      </c>
    </row>
    <row r="564" spans="1:21" x14ac:dyDescent="0.3">
      <c r="A564" t="s">
        <v>2437</v>
      </c>
      <c r="B564" s="1">
        <v>41470</v>
      </c>
      <c r="C564" s="1">
        <v>41472</v>
      </c>
      <c r="D564" t="s">
        <v>84</v>
      </c>
      <c r="E564" t="s">
        <v>1269</v>
      </c>
      <c r="F564" t="s">
        <v>54</v>
      </c>
      <c r="G564" t="s">
        <v>574</v>
      </c>
      <c r="H564" t="s">
        <v>135</v>
      </c>
      <c r="I564" t="s">
        <v>136</v>
      </c>
      <c r="J564" t="s">
        <v>396</v>
      </c>
      <c r="K564" t="s">
        <v>2438</v>
      </c>
      <c r="L564" t="s">
        <v>30</v>
      </c>
      <c r="M564" t="s">
        <v>370</v>
      </c>
      <c r="N564" t="s">
        <v>2439</v>
      </c>
      <c r="O564" s="2">
        <v>12</v>
      </c>
      <c r="P564">
        <v>2</v>
      </c>
      <c r="Q564" s="3">
        <v>0.2</v>
      </c>
      <c r="R564" s="2">
        <v>1.0178</v>
      </c>
      <c r="S564" s="2">
        <v>0.59</v>
      </c>
      <c r="T564" t="s">
        <v>33</v>
      </c>
      <c r="U564">
        <v>2013</v>
      </c>
    </row>
    <row r="565" spans="1:21" x14ac:dyDescent="0.3">
      <c r="A565" t="s">
        <v>2440</v>
      </c>
      <c r="B565" s="1">
        <v>40745</v>
      </c>
      <c r="C565" s="1">
        <v>40750</v>
      </c>
      <c r="D565" t="s">
        <v>22</v>
      </c>
      <c r="E565" t="s">
        <v>2266</v>
      </c>
      <c r="F565" t="s">
        <v>54</v>
      </c>
      <c r="G565" t="s">
        <v>2441</v>
      </c>
      <c r="H565" t="s">
        <v>38</v>
      </c>
      <c r="I565" t="s">
        <v>39</v>
      </c>
      <c r="J565" t="s">
        <v>40</v>
      </c>
      <c r="K565" t="s">
        <v>2442</v>
      </c>
      <c r="L565" t="s">
        <v>59</v>
      </c>
      <c r="M565" t="s">
        <v>339</v>
      </c>
      <c r="N565" t="s">
        <v>2443</v>
      </c>
      <c r="O565" s="2">
        <v>260</v>
      </c>
      <c r="P565">
        <v>8</v>
      </c>
      <c r="Q565" s="3">
        <v>0.6</v>
      </c>
      <c r="R565" s="2">
        <v>-358.048</v>
      </c>
      <c r="S565" s="2">
        <v>28.07</v>
      </c>
      <c r="T565" t="s">
        <v>99</v>
      </c>
      <c r="U565">
        <v>2011</v>
      </c>
    </row>
    <row r="566" spans="1:21" x14ac:dyDescent="0.3">
      <c r="A566" t="s">
        <v>2444</v>
      </c>
      <c r="B566" s="1">
        <v>40753</v>
      </c>
      <c r="C566" s="1">
        <v>40757</v>
      </c>
      <c r="D566" t="s">
        <v>45</v>
      </c>
      <c r="E566" t="s">
        <v>2445</v>
      </c>
      <c r="F566" t="s">
        <v>54</v>
      </c>
      <c r="G566" t="s">
        <v>2364</v>
      </c>
      <c r="H566" t="s">
        <v>2365</v>
      </c>
      <c r="I566" t="s">
        <v>27</v>
      </c>
      <c r="J566" t="s">
        <v>28</v>
      </c>
      <c r="K566" t="s">
        <v>928</v>
      </c>
      <c r="L566" t="s">
        <v>30</v>
      </c>
      <c r="M566" t="s">
        <v>66</v>
      </c>
      <c r="N566" t="s">
        <v>929</v>
      </c>
      <c r="O566" s="2">
        <v>217</v>
      </c>
      <c r="P566">
        <v>3</v>
      </c>
      <c r="Q566" s="3">
        <v>0.47</v>
      </c>
      <c r="R566" s="2">
        <v>-24.625800000000002</v>
      </c>
      <c r="S566" s="2">
        <v>40.299999999999997</v>
      </c>
      <c r="T566" t="s">
        <v>99</v>
      </c>
      <c r="U566">
        <v>2011</v>
      </c>
    </row>
    <row r="567" spans="1:21" x14ac:dyDescent="0.3">
      <c r="A567" t="s">
        <v>2446</v>
      </c>
      <c r="B567" s="1">
        <v>41766</v>
      </c>
      <c r="C567" s="1">
        <v>41771</v>
      </c>
      <c r="D567" t="s">
        <v>22</v>
      </c>
      <c r="E567" t="s">
        <v>2447</v>
      </c>
      <c r="F567" t="s">
        <v>24</v>
      </c>
      <c r="G567" t="s">
        <v>1044</v>
      </c>
      <c r="H567" t="s">
        <v>844</v>
      </c>
      <c r="I567" t="s">
        <v>39</v>
      </c>
      <c r="J567" t="s">
        <v>57</v>
      </c>
      <c r="K567" t="s">
        <v>2448</v>
      </c>
      <c r="L567" t="s">
        <v>30</v>
      </c>
      <c r="M567" t="s">
        <v>370</v>
      </c>
      <c r="N567" t="s">
        <v>911</v>
      </c>
      <c r="O567" s="2">
        <v>170</v>
      </c>
      <c r="P567">
        <v>8</v>
      </c>
      <c r="Q567" s="3">
        <v>0</v>
      </c>
      <c r="R567" s="2">
        <v>74.56</v>
      </c>
      <c r="S567" s="2">
        <v>8.58</v>
      </c>
      <c r="T567" t="s">
        <v>33</v>
      </c>
      <c r="U567">
        <v>2014</v>
      </c>
    </row>
    <row r="568" spans="1:21" x14ac:dyDescent="0.3">
      <c r="A568" t="s">
        <v>2449</v>
      </c>
      <c r="B568" s="1">
        <v>40746</v>
      </c>
      <c r="C568" s="1">
        <v>40748</v>
      </c>
      <c r="D568" t="s">
        <v>45</v>
      </c>
      <c r="E568" t="s">
        <v>1979</v>
      </c>
      <c r="F568" t="s">
        <v>54</v>
      </c>
      <c r="G568" t="s">
        <v>134</v>
      </c>
      <c r="H568" t="s">
        <v>135</v>
      </c>
      <c r="I568" t="s">
        <v>136</v>
      </c>
      <c r="J568" t="s">
        <v>137</v>
      </c>
      <c r="K568" t="s">
        <v>2450</v>
      </c>
      <c r="L568" t="s">
        <v>59</v>
      </c>
      <c r="M568" t="s">
        <v>329</v>
      </c>
      <c r="N568" t="s">
        <v>2451</v>
      </c>
      <c r="O568" s="2">
        <v>170</v>
      </c>
      <c r="P568">
        <v>3</v>
      </c>
      <c r="Q568" s="3">
        <v>0.2</v>
      </c>
      <c r="R568" s="2">
        <v>19.1646</v>
      </c>
      <c r="S568" s="2">
        <v>17.28</v>
      </c>
      <c r="T568" t="s">
        <v>99</v>
      </c>
      <c r="U568">
        <v>2011</v>
      </c>
    </row>
    <row r="569" spans="1:21" x14ac:dyDescent="0.3">
      <c r="A569" t="s">
        <v>2452</v>
      </c>
      <c r="B569" s="1">
        <v>41848</v>
      </c>
      <c r="C569" s="1">
        <v>41851</v>
      </c>
      <c r="D569" t="s">
        <v>84</v>
      </c>
      <c r="E569" t="s">
        <v>2453</v>
      </c>
      <c r="F569" t="s">
        <v>54</v>
      </c>
      <c r="G569" t="s">
        <v>1524</v>
      </c>
      <c r="H569" t="s">
        <v>205</v>
      </c>
      <c r="I569" t="s">
        <v>49</v>
      </c>
      <c r="J569" t="s">
        <v>57</v>
      </c>
      <c r="K569" t="s">
        <v>2454</v>
      </c>
      <c r="L569" t="s">
        <v>30</v>
      </c>
      <c r="M569" t="s">
        <v>370</v>
      </c>
      <c r="N569" t="s">
        <v>2455</v>
      </c>
      <c r="O569" s="2">
        <v>191</v>
      </c>
      <c r="P569">
        <v>4</v>
      </c>
      <c r="Q569" s="3">
        <v>0</v>
      </c>
      <c r="R569" s="2">
        <v>93.36</v>
      </c>
      <c r="S569" s="2">
        <v>57.32</v>
      </c>
      <c r="T569" t="s">
        <v>68</v>
      </c>
      <c r="U569">
        <v>2014</v>
      </c>
    </row>
    <row r="570" spans="1:21" x14ac:dyDescent="0.3">
      <c r="A570" t="s">
        <v>2456</v>
      </c>
      <c r="B570" s="1">
        <v>41110</v>
      </c>
      <c r="C570" s="1">
        <v>41115</v>
      </c>
      <c r="D570" t="s">
        <v>45</v>
      </c>
      <c r="E570" t="s">
        <v>701</v>
      </c>
      <c r="F570" t="s">
        <v>54</v>
      </c>
      <c r="G570" t="s">
        <v>806</v>
      </c>
      <c r="H570" t="s">
        <v>135</v>
      </c>
      <c r="I570" t="s">
        <v>136</v>
      </c>
      <c r="J570" t="s">
        <v>57</v>
      </c>
      <c r="K570" t="s">
        <v>2457</v>
      </c>
      <c r="L570" t="s">
        <v>30</v>
      </c>
      <c r="M570" t="s">
        <v>105</v>
      </c>
      <c r="N570" t="s">
        <v>2458</v>
      </c>
      <c r="O570" s="2">
        <v>26</v>
      </c>
      <c r="P570">
        <v>5</v>
      </c>
      <c r="Q570" s="3">
        <v>0</v>
      </c>
      <c r="R570" s="2">
        <v>11.88</v>
      </c>
      <c r="S570" s="2">
        <v>1.08</v>
      </c>
      <c r="T570" t="s">
        <v>33</v>
      </c>
      <c r="U570">
        <v>2012</v>
      </c>
    </row>
    <row r="571" spans="1:21" x14ac:dyDescent="0.3">
      <c r="A571" t="s">
        <v>2459</v>
      </c>
      <c r="B571" s="1">
        <v>41615</v>
      </c>
      <c r="C571" s="1">
        <v>41620</v>
      </c>
      <c r="D571" t="s">
        <v>45</v>
      </c>
      <c r="E571" t="s">
        <v>1497</v>
      </c>
      <c r="F571" t="s">
        <v>24</v>
      </c>
      <c r="G571" t="s">
        <v>830</v>
      </c>
      <c r="H571" t="s">
        <v>72</v>
      </c>
      <c r="I571" t="s">
        <v>27</v>
      </c>
      <c r="J571" t="s">
        <v>73</v>
      </c>
      <c r="K571" t="s">
        <v>2460</v>
      </c>
      <c r="L571" t="s">
        <v>59</v>
      </c>
      <c r="M571" t="s">
        <v>139</v>
      </c>
      <c r="N571" t="s">
        <v>1879</v>
      </c>
      <c r="O571" s="2">
        <v>150</v>
      </c>
      <c r="P571">
        <v>1</v>
      </c>
      <c r="Q571" s="3">
        <v>0</v>
      </c>
      <c r="R571" s="2">
        <v>14.94</v>
      </c>
      <c r="S571" s="2">
        <v>10.039999999999999</v>
      </c>
      <c r="T571" t="s">
        <v>33</v>
      </c>
      <c r="U571">
        <v>2013</v>
      </c>
    </row>
    <row r="572" spans="1:21" x14ac:dyDescent="0.3">
      <c r="A572" t="s">
        <v>2461</v>
      </c>
      <c r="B572" s="1">
        <v>41159</v>
      </c>
      <c r="C572" s="1">
        <v>41165</v>
      </c>
      <c r="D572" t="s">
        <v>22</v>
      </c>
      <c r="E572" t="s">
        <v>2462</v>
      </c>
      <c r="F572" t="s">
        <v>36</v>
      </c>
      <c r="G572" t="s">
        <v>384</v>
      </c>
      <c r="H572" t="s">
        <v>26</v>
      </c>
      <c r="I572" t="s">
        <v>27</v>
      </c>
      <c r="J572" t="s">
        <v>28</v>
      </c>
      <c r="K572" t="s">
        <v>2463</v>
      </c>
      <c r="L572" t="s">
        <v>146</v>
      </c>
      <c r="M572" t="s">
        <v>195</v>
      </c>
      <c r="N572" t="s">
        <v>2464</v>
      </c>
      <c r="O572" s="2">
        <v>403</v>
      </c>
      <c r="P572">
        <v>4</v>
      </c>
      <c r="Q572" s="3">
        <v>0.17</v>
      </c>
      <c r="R572" s="2">
        <v>145.50239999999999</v>
      </c>
      <c r="S572" s="2">
        <v>43.17</v>
      </c>
      <c r="T572" t="s">
        <v>33</v>
      </c>
      <c r="U572">
        <v>2012</v>
      </c>
    </row>
    <row r="573" spans="1:21" x14ac:dyDescent="0.3">
      <c r="A573" t="s">
        <v>2465</v>
      </c>
      <c r="B573" s="1">
        <v>41837</v>
      </c>
      <c r="C573" s="1">
        <v>41840</v>
      </c>
      <c r="D573" t="s">
        <v>45</v>
      </c>
      <c r="E573" t="s">
        <v>2057</v>
      </c>
      <c r="F573" t="s">
        <v>36</v>
      </c>
      <c r="G573" t="s">
        <v>2215</v>
      </c>
      <c r="H573" t="s">
        <v>72</v>
      </c>
      <c r="I573" t="s">
        <v>27</v>
      </c>
      <c r="J573" t="s">
        <v>73</v>
      </c>
      <c r="K573" t="s">
        <v>2466</v>
      </c>
      <c r="L573" t="s">
        <v>146</v>
      </c>
      <c r="M573" t="s">
        <v>271</v>
      </c>
      <c r="N573" t="s">
        <v>2467</v>
      </c>
      <c r="O573" s="2">
        <v>449</v>
      </c>
      <c r="P573">
        <v>4</v>
      </c>
      <c r="Q573" s="3">
        <v>0</v>
      </c>
      <c r="R573" s="2">
        <v>188.4</v>
      </c>
      <c r="S573" s="2">
        <v>53.54</v>
      </c>
      <c r="T573" t="s">
        <v>99</v>
      </c>
      <c r="U573">
        <v>2014</v>
      </c>
    </row>
    <row r="574" spans="1:21" x14ac:dyDescent="0.3">
      <c r="A574" t="s">
        <v>2468</v>
      </c>
      <c r="B574" s="1">
        <v>41834</v>
      </c>
      <c r="C574" s="1">
        <v>41841</v>
      </c>
      <c r="D574" t="s">
        <v>22</v>
      </c>
      <c r="E574" t="s">
        <v>2469</v>
      </c>
      <c r="F574" t="s">
        <v>36</v>
      </c>
      <c r="G574" t="s">
        <v>2470</v>
      </c>
      <c r="H574" t="s">
        <v>2471</v>
      </c>
      <c r="I574" t="s">
        <v>49</v>
      </c>
      <c r="J574" t="s">
        <v>129</v>
      </c>
      <c r="K574" t="s">
        <v>2472</v>
      </c>
      <c r="L574" t="s">
        <v>30</v>
      </c>
      <c r="M574" t="s">
        <v>90</v>
      </c>
      <c r="N574" t="s">
        <v>2473</v>
      </c>
      <c r="O574" s="2">
        <v>32</v>
      </c>
      <c r="P574">
        <v>2</v>
      </c>
      <c r="Q574" s="3">
        <v>0.5</v>
      </c>
      <c r="R574" s="2">
        <v>-7.77</v>
      </c>
      <c r="S574" s="2">
        <v>1.95</v>
      </c>
      <c r="T574" t="s">
        <v>33</v>
      </c>
      <c r="U574">
        <v>2014</v>
      </c>
    </row>
    <row r="575" spans="1:21" x14ac:dyDescent="0.3">
      <c r="A575" t="s">
        <v>2474</v>
      </c>
      <c r="B575" s="1">
        <v>40975</v>
      </c>
      <c r="C575" s="1">
        <v>40978</v>
      </c>
      <c r="D575" t="s">
        <v>84</v>
      </c>
      <c r="E575" t="s">
        <v>1732</v>
      </c>
      <c r="F575" t="s">
        <v>36</v>
      </c>
      <c r="G575" t="s">
        <v>589</v>
      </c>
      <c r="H575" t="s">
        <v>135</v>
      </c>
      <c r="I575" t="s">
        <v>136</v>
      </c>
      <c r="J575" t="s">
        <v>396</v>
      </c>
      <c r="K575" t="s">
        <v>2475</v>
      </c>
      <c r="L575" t="s">
        <v>30</v>
      </c>
      <c r="M575" t="s">
        <v>31</v>
      </c>
      <c r="N575" t="s">
        <v>2476</v>
      </c>
      <c r="O575" s="2">
        <v>69</v>
      </c>
      <c r="P575">
        <v>2</v>
      </c>
      <c r="Q575" s="3">
        <v>0</v>
      </c>
      <c r="R575" s="2">
        <v>33.254399999999997</v>
      </c>
      <c r="S575" s="2">
        <v>17.940000000000001</v>
      </c>
      <c r="T575" t="s">
        <v>99</v>
      </c>
      <c r="U575">
        <v>2012</v>
      </c>
    </row>
    <row r="576" spans="1:21" x14ac:dyDescent="0.3">
      <c r="A576" t="s">
        <v>2477</v>
      </c>
      <c r="B576" s="1">
        <v>41475</v>
      </c>
      <c r="C576" s="1">
        <v>41480</v>
      </c>
      <c r="D576" t="s">
        <v>22</v>
      </c>
      <c r="E576" t="s">
        <v>717</v>
      </c>
      <c r="F576" t="s">
        <v>24</v>
      </c>
      <c r="G576" t="s">
        <v>1458</v>
      </c>
      <c r="H576" t="s">
        <v>1147</v>
      </c>
      <c r="I576" t="s">
        <v>39</v>
      </c>
      <c r="J576" t="s">
        <v>129</v>
      </c>
      <c r="K576" t="s">
        <v>2478</v>
      </c>
      <c r="L576" t="s">
        <v>30</v>
      </c>
      <c r="M576" t="s">
        <v>31</v>
      </c>
      <c r="N576" t="s">
        <v>2479</v>
      </c>
      <c r="O576" s="2">
        <v>63</v>
      </c>
      <c r="P576">
        <v>3</v>
      </c>
      <c r="Q576" s="3">
        <v>0</v>
      </c>
      <c r="R576" s="2">
        <v>9.48</v>
      </c>
      <c r="S576" s="2">
        <v>3.28</v>
      </c>
      <c r="T576" t="s">
        <v>33</v>
      </c>
      <c r="U576">
        <v>2013</v>
      </c>
    </row>
    <row r="577" spans="1:21" x14ac:dyDescent="0.3">
      <c r="A577" t="s">
        <v>2480</v>
      </c>
      <c r="B577" s="1">
        <v>41950</v>
      </c>
      <c r="C577" s="1">
        <v>41957</v>
      </c>
      <c r="D577" t="s">
        <v>22</v>
      </c>
      <c r="E577" t="s">
        <v>2481</v>
      </c>
      <c r="F577" t="s">
        <v>36</v>
      </c>
      <c r="G577" t="s">
        <v>2482</v>
      </c>
      <c r="H577" t="s">
        <v>135</v>
      </c>
      <c r="I577" t="s">
        <v>136</v>
      </c>
      <c r="J577" t="s">
        <v>396</v>
      </c>
      <c r="K577" t="s">
        <v>2483</v>
      </c>
      <c r="L577" t="s">
        <v>30</v>
      </c>
      <c r="M577" t="s">
        <v>66</v>
      </c>
      <c r="N577" t="s">
        <v>2484</v>
      </c>
      <c r="O577" s="2">
        <v>46</v>
      </c>
      <c r="P577">
        <v>3</v>
      </c>
      <c r="Q577" s="3">
        <v>0</v>
      </c>
      <c r="R577" s="2">
        <v>12.0276</v>
      </c>
      <c r="S577" s="2">
        <v>5.17</v>
      </c>
      <c r="T577" t="s">
        <v>77</v>
      </c>
      <c r="U577">
        <v>2014</v>
      </c>
    </row>
    <row r="578" spans="1:21" x14ac:dyDescent="0.3">
      <c r="A578" t="s">
        <v>2485</v>
      </c>
      <c r="B578" s="1">
        <v>41159</v>
      </c>
      <c r="C578" s="1">
        <v>41161</v>
      </c>
      <c r="D578" t="s">
        <v>84</v>
      </c>
      <c r="E578" t="s">
        <v>2486</v>
      </c>
      <c r="F578" t="s">
        <v>24</v>
      </c>
      <c r="G578" t="s">
        <v>2487</v>
      </c>
      <c r="H578" t="s">
        <v>56</v>
      </c>
      <c r="I578" t="s">
        <v>49</v>
      </c>
      <c r="J578" t="s">
        <v>57</v>
      </c>
      <c r="K578" t="s">
        <v>2488</v>
      </c>
      <c r="L578" t="s">
        <v>30</v>
      </c>
      <c r="M578" t="s">
        <v>31</v>
      </c>
      <c r="N578" t="s">
        <v>2489</v>
      </c>
      <c r="O578" s="2">
        <v>184</v>
      </c>
      <c r="P578">
        <v>13</v>
      </c>
      <c r="Q578" s="3">
        <v>0</v>
      </c>
      <c r="R578" s="2">
        <v>38.61</v>
      </c>
      <c r="S578" s="2">
        <v>13.74</v>
      </c>
      <c r="T578" t="s">
        <v>33</v>
      </c>
      <c r="U578">
        <v>2012</v>
      </c>
    </row>
    <row r="579" spans="1:21" x14ac:dyDescent="0.3">
      <c r="A579" t="s">
        <v>2490</v>
      </c>
      <c r="B579" s="1">
        <v>41475</v>
      </c>
      <c r="C579" s="1">
        <v>41482</v>
      </c>
      <c r="D579" t="s">
        <v>22</v>
      </c>
      <c r="E579" t="s">
        <v>2491</v>
      </c>
      <c r="F579" t="s">
        <v>36</v>
      </c>
      <c r="G579" t="s">
        <v>2492</v>
      </c>
      <c r="H579" t="s">
        <v>281</v>
      </c>
      <c r="I579" t="s">
        <v>39</v>
      </c>
      <c r="J579" t="s">
        <v>40</v>
      </c>
      <c r="K579" t="s">
        <v>2493</v>
      </c>
      <c r="L579" t="s">
        <v>30</v>
      </c>
      <c r="M579" t="s">
        <v>105</v>
      </c>
      <c r="N579" t="s">
        <v>2494</v>
      </c>
      <c r="O579" s="2">
        <v>74</v>
      </c>
      <c r="P579">
        <v>4</v>
      </c>
      <c r="Q579" s="3">
        <v>0</v>
      </c>
      <c r="R579" s="2">
        <v>33.28</v>
      </c>
      <c r="S579" s="2">
        <v>11.58</v>
      </c>
      <c r="T579" t="s">
        <v>77</v>
      </c>
      <c r="U579">
        <v>2013</v>
      </c>
    </row>
    <row r="580" spans="1:21" x14ac:dyDescent="0.3">
      <c r="A580" t="s">
        <v>2495</v>
      </c>
      <c r="B580" s="1">
        <v>41919</v>
      </c>
      <c r="C580" s="1">
        <v>41923</v>
      </c>
      <c r="D580" t="s">
        <v>22</v>
      </c>
      <c r="E580" t="s">
        <v>2496</v>
      </c>
      <c r="F580" t="s">
        <v>54</v>
      </c>
      <c r="G580" t="s">
        <v>2497</v>
      </c>
      <c r="H580" t="s">
        <v>1937</v>
      </c>
      <c r="I580" t="s">
        <v>88</v>
      </c>
      <c r="J580" t="s">
        <v>88</v>
      </c>
      <c r="K580" t="s">
        <v>2498</v>
      </c>
      <c r="L580" t="s">
        <v>30</v>
      </c>
      <c r="M580" t="s">
        <v>90</v>
      </c>
      <c r="N580" t="s">
        <v>2499</v>
      </c>
      <c r="O580" s="2">
        <v>60</v>
      </c>
      <c r="P580">
        <v>4</v>
      </c>
      <c r="Q580" s="3">
        <v>0.7</v>
      </c>
      <c r="R580" s="2">
        <v>-139.608</v>
      </c>
      <c r="S580" s="2">
        <v>4.8</v>
      </c>
      <c r="T580" t="s">
        <v>33</v>
      </c>
      <c r="U580">
        <v>2014</v>
      </c>
    </row>
    <row r="581" spans="1:21" x14ac:dyDescent="0.3">
      <c r="A581" t="s">
        <v>2500</v>
      </c>
      <c r="B581" s="1">
        <v>40793</v>
      </c>
      <c r="C581" s="1">
        <v>40799</v>
      </c>
      <c r="D581" t="s">
        <v>22</v>
      </c>
      <c r="E581" t="s">
        <v>1131</v>
      </c>
      <c r="F581" t="s">
        <v>36</v>
      </c>
      <c r="G581" t="s">
        <v>2072</v>
      </c>
      <c r="H581" t="s">
        <v>135</v>
      </c>
      <c r="I581" t="s">
        <v>136</v>
      </c>
      <c r="J581" t="s">
        <v>57</v>
      </c>
      <c r="K581" t="s">
        <v>2501</v>
      </c>
      <c r="L581" t="s">
        <v>30</v>
      </c>
      <c r="M581" t="s">
        <v>31</v>
      </c>
      <c r="N581" t="s">
        <v>2502</v>
      </c>
      <c r="O581" s="2">
        <v>32</v>
      </c>
      <c r="P581">
        <v>2</v>
      </c>
      <c r="Q581" s="3">
        <v>0</v>
      </c>
      <c r="R581" s="2">
        <v>15.3888</v>
      </c>
      <c r="S581" s="2">
        <v>3.07</v>
      </c>
      <c r="T581" t="s">
        <v>33</v>
      </c>
      <c r="U581">
        <v>2011</v>
      </c>
    </row>
    <row r="582" spans="1:21" x14ac:dyDescent="0.3">
      <c r="A582" t="s">
        <v>2503</v>
      </c>
      <c r="B582" s="1">
        <v>41036</v>
      </c>
      <c r="C582" s="1">
        <v>41038</v>
      </c>
      <c r="D582" t="s">
        <v>45</v>
      </c>
      <c r="E582" t="s">
        <v>2182</v>
      </c>
      <c r="F582" t="s">
        <v>54</v>
      </c>
      <c r="G582" t="s">
        <v>1270</v>
      </c>
      <c r="H582" t="s">
        <v>1147</v>
      </c>
      <c r="I582" t="s">
        <v>39</v>
      </c>
      <c r="J582" t="s">
        <v>129</v>
      </c>
      <c r="K582" t="s">
        <v>2504</v>
      </c>
      <c r="L582" t="s">
        <v>30</v>
      </c>
      <c r="M582" t="s">
        <v>66</v>
      </c>
      <c r="N582" t="s">
        <v>177</v>
      </c>
      <c r="O582" s="2">
        <v>553</v>
      </c>
      <c r="P582">
        <v>4</v>
      </c>
      <c r="Q582" s="3">
        <v>0</v>
      </c>
      <c r="R582" s="2">
        <v>132.63999999999999</v>
      </c>
      <c r="S582" s="2">
        <v>70.44</v>
      </c>
      <c r="T582" t="s">
        <v>99</v>
      </c>
      <c r="U582">
        <v>2012</v>
      </c>
    </row>
    <row r="583" spans="1:21" x14ac:dyDescent="0.3">
      <c r="A583" t="s">
        <v>2505</v>
      </c>
      <c r="B583" s="1">
        <v>41846</v>
      </c>
      <c r="C583" s="1">
        <v>41848</v>
      </c>
      <c r="D583" t="s">
        <v>45</v>
      </c>
      <c r="E583" t="s">
        <v>2506</v>
      </c>
      <c r="F583" t="s">
        <v>36</v>
      </c>
      <c r="G583" t="s">
        <v>2507</v>
      </c>
      <c r="H583" t="s">
        <v>2508</v>
      </c>
      <c r="I583" t="s">
        <v>49</v>
      </c>
      <c r="J583" t="s">
        <v>57</v>
      </c>
      <c r="K583" t="s">
        <v>953</v>
      </c>
      <c r="L583" t="s">
        <v>59</v>
      </c>
      <c r="M583" t="s">
        <v>60</v>
      </c>
      <c r="N583" t="s">
        <v>2509</v>
      </c>
      <c r="O583" s="2">
        <v>165</v>
      </c>
      <c r="P583">
        <v>3</v>
      </c>
      <c r="Q583" s="3">
        <v>0</v>
      </c>
      <c r="R583" s="2">
        <v>46.26</v>
      </c>
      <c r="S583" s="2">
        <v>19.02</v>
      </c>
      <c r="T583" t="s">
        <v>33</v>
      </c>
      <c r="U583">
        <v>2014</v>
      </c>
    </row>
    <row r="584" spans="1:21" x14ac:dyDescent="0.3">
      <c r="A584" t="s">
        <v>2510</v>
      </c>
      <c r="B584" s="1">
        <v>40946</v>
      </c>
      <c r="C584" s="1">
        <v>40950</v>
      </c>
      <c r="D584" t="s">
        <v>22</v>
      </c>
      <c r="E584" t="s">
        <v>2511</v>
      </c>
      <c r="F584" t="s">
        <v>54</v>
      </c>
      <c r="G584" t="s">
        <v>64</v>
      </c>
      <c r="H584" t="s">
        <v>56</v>
      </c>
      <c r="I584" t="s">
        <v>49</v>
      </c>
      <c r="J584" t="s">
        <v>57</v>
      </c>
      <c r="K584" t="s">
        <v>2512</v>
      </c>
      <c r="L584" t="s">
        <v>59</v>
      </c>
      <c r="M584" t="s">
        <v>60</v>
      </c>
      <c r="N584" t="s">
        <v>2513</v>
      </c>
      <c r="O584" s="2">
        <v>651</v>
      </c>
      <c r="P584">
        <v>6</v>
      </c>
      <c r="Q584" s="3">
        <v>0</v>
      </c>
      <c r="R584" s="2">
        <v>240.84</v>
      </c>
      <c r="S584" s="2">
        <v>96.05</v>
      </c>
      <c r="T584" t="s">
        <v>99</v>
      </c>
      <c r="U584">
        <v>2012</v>
      </c>
    </row>
    <row r="585" spans="1:21" x14ac:dyDescent="0.3">
      <c r="A585" t="s">
        <v>2514</v>
      </c>
      <c r="B585" s="1">
        <v>41432</v>
      </c>
      <c r="C585" s="1">
        <v>41435</v>
      </c>
      <c r="D585" t="s">
        <v>45</v>
      </c>
      <c r="E585" t="s">
        <v>1545</v>
      </c>
      <c r="F585" t="s">
        <v>36</v>
      </c>
      <c r="G585" t="s">
        <v>854</v>
      </c>
      <c r="H585" t="s">
        <v>56</v>
      </c>
      <c r="I585" t="s">
        <v>49</v>
      </c>
      <c r="J585" t="s">
        <v>57</v>
      </c>
      <c r="K585" t="s">
        <v>2515</v>
      </c>
      <c r="L585" t="s">
        <v>146</v>
      </c>
      <c r="M585" t="s">
        <v>271</v>
      </c>
      <c r="N585" t="s">
        <v>1547</v>
      </c>
      <c r="O585" s="2">
        <v>163</v>
      </c>
      <c r="P585">
        <v>2</v>
      </c>
      <c r="Q585" s="3">
        <v>0</v>
      </c>
      <c r="R585" s="2">
        <v>9.7799999999999994</v>
      </c>
      <c r="S585" s="2">
        <v>15.21</v>
      </c>
      <c r="T585" t="s">
        <v>33</v>
      </c>
      <c r="U585">
        <v>2013</v>
      </c>
    </row>
    <row r="586" spans="1:21" x14ac:dyDescent="0.3">
      <c r="A586" t="s">
        <v>2516</v>
      </c>
      <c r="B586" s="1">
        <v>41827</v>
      </c>
      <c r="C586" s="1">
        <v>41832</v>
      </c>
      <c r="D586" t="s">
        <v>22</v>
      </c>
      <c r="E586" t="s">
        <v>1928</v>
      </c>
      <c r="F586" t="s">
        <v>54</v>
      </c>
      <c r="G586" t="s">
        <v>728</v>
      </c>
      <c r="H586" t="s">
        <v>87</v>
      </c>
      <c r="I586" t="s">
        <v>88</v>
      </c>
      <c r="J586" t="s">
        <v>88</v>
      </c>
      <c r="K586" t="s">
        <v>2517</v>
      </c>
      <c r="L586" t="s">
        <v>30</v>
      </c>
      <c r="M586" t="s">
        <v>105</v>
      </c>
      <c r="N586" t="s">
        <v>2518</v>
      </c>
      <c r="O586" s="2">
        <v>24</v>
      </c>
      <c r="P586">
        <v>2</v>
      </c>
      <c r="Q586" s="3">
        <v>0.6</v>
      </c>
      <c r="R586" s="2">
        <v>-23.352</v>
      </c>
      <c r="S586" s="2">
        <v>3.38</v>
      </c>
      <c r="T586" t="s">
        <v>99</v>
      </c>
      <c r="U586">
        <v>2014</v>
      </c>
    </row>
    <row r="587" spans="1:21" x14ac:dyDescent="0.3">
      <c r="A587" t="s">
        <v>2519</v>
      </c>
      <c r="B587" s="1">
        <v>41141</v>
      </c>
      <c r="C587" s="1">
        <v>41145</v>
      </c>
      <c r="D587" t="s">
        <v>45</v>
      </c>
      <c r="E587" t="s">
        <v>1955</v>
      </c>
      <c r="F587" t="s">
        <v>54</v>
      </c>
      <c r="G587" t="s">
        <v>2520</v>
      </c>
      <c r="H587" t="s">
        <v>218</v>
      </c>
      <c r="I587" t="s">
        <v>218</v>
      </c>
      <c r="J587" t="s">
        <v>218</v>
      </c>
      <c r="K587" t="s">
        <v>2521</v>
      </c>
      <c r="L587" t="s">
        <v>59</v>
      </c>
      <c r="M587" t="s">
        <v>139</v>
      </c>
      <c r="N587" t="s">
        <v>2522</v>
      </c>
      <c r="O587" s="2">
        <v>460</v>
      </c>
      <c r="P587">
        <v>1</v>
      </c>
      <c r="Q587" s="3">
        <v>0</v>
      </c>
      <c r="R587" s="2">
        <v>124.08</v>
      </c>
      <c r="S587" s="2">
        <v>41.51</v>
      </c>
      <c r="T587" t="s">
        <v>33</v>
      </c>
      <c r="U587">
        <v>2012</v>
      </c>
    </row>
    <row r="588" spans="1:21" x14ac:dyDescent="0.3">
      <c r="A588" t="s">
        <v>2523</v>
      </c>
      <c r="B588" s="1">
        <v>41463</v>
      </c>
      <c r="C588" s="1">
        <v>41467</v>
      </c>
      <c r="D588" t="s">
        <v>22</v>
      </c>
      <c r="E588" t="s">
        <v>611</v>
      </c>
      <c r="F588" t="s">
        <v>36</v>
      </c>
      <c r="G588" t="s">
        <v>728</v>
      </c>
      <c r="H588" t="s">
        <v>87</v>
      </c>
      <c r="I588" t="s">
        <v>88</v>
      </c>
      <c r="J588" t="s">
        <v>88</v>
      </c>
      <c r="K588" t="s">
        <v>2524</v>
      </c>
      <c r="L588" t="s">
        <v>30</v>
      </c>
      <c r="M588" t="s">
        <v>90</v>
      </c>
      <c r="N588" t="s">
        <v>2525</v>
      </c>
      <c r="O588" s="2">
        <v>20</v>
      </c>
      <c r="P588">
        <v>1</v>
      </c>
      <c r="Q588" s="3">
        <v>0.6</v>
      </c>
      <c r="R588" s="2">
        <v>-17.934000000000001</v>
      </c>
      <c r="S588" s="2">
        <v>2.86</v>
      </c>
      <c r="T588" t="s">
        <v>99</v>
      </c>
      <c r="U588">
        <v>2013</v>
      </c>
    </row>
    <row r="589" spans="1:21" x14ac:dyDescent="0.3">
      <c r="A589" t="s">
        <v>2526</v>
      </c>
      <c r="B589" s="1">
        <v>41865</v>
      </c>
      <c r="C589" s="1">
        <v>41871</v>
      </c>
      <c r="D589" t="s">
        <v>22</v>
      </c>
      <c r="E589" t="s">
        <v>2527</v>
      </c>
      <c r="F589" t="s">
        <v>54</v>
      </c>
      <c r="G589" t="s">
        <v>327</v>
      </c>
      <c r="H589" t="s">
        <v>224</v>
      </c>
      <c r="I589" t="s">
        <v>49</v>
      </c>
      <c r="J589" t="s">
        <v>40</v>
      </c>
      <c r="K589" t="s">
        <v>2528</v>
      </c>
      <c r="L589" t="s">
        <v>146</v>
      </c>
      <c r="M589" t="s">
        <v>347</v>
      </c>
      <c r="N589" t="s">
        <v>2529</v>
      </c>
      <c r="O589" s="2">
        <v>2125</v>
      </c>
      <c r="P589">
        <v>6</v>
      </c>
      <c r="Q589" s="3">
        <v>0</v>
      </c>
      <c r="R589" s="2">
        <v>233.64</v>
      </c>
      <c r="S589" s="2">
        <v>104.46</v>
      </c>
      <c r="T589" t="s">
        <v>77</v>
      </c>
      <c r="U589">
        <v>2014</v>
      </c>
    </row>
    <row r="590" spans="1:21" x14ac:dyDescent="0.3">
      <c r="A590" t="s">
        <v>2530</v>
      </c>
      <c r="B590" s="1">
        <v>41869</v>
      </c>
      <c r="C590" s="1">
        <v>41876</v>
      </c>
      <c r="D590" t="s">
        <v>22</v>
      </c>
      <c r="E590" t="s">
        <v>2531</v>
      </c>
      <c r="F590" t="s">
        <v>24</v>
      </c>
      <c r="G590" t="s">
        <v>2532</v>
      </c>
      <c r="H590" t="s">
        <v>2533</v>
      </c>
      <c r="I590" t="s">
        <v>39</v>
      </c>
      <c r="J590" t="s">
        <v>236</v>
      </c>
      <c r="K590" t="s">
        <v>2534</v>
      </c>
      <c r="L590" t="s">
        <v>146</v>
      </c>
      <c r="M590" t="s">
        <v>147</v>
      </c>
      <c r="N590" t="s">
        <v>2535</v>
      </c>
      <c r="O590" s="2">
        <v>248</v>
      </c>
      <c r="P590">
        <v>5</v>
      </c>
      <c r="Q590" s="3">
        <v>0</v>
      </c>
      <c r="R590" s="2">
        <v>124.1</v>
      </c>
      <c r="S590" s="2">
        <v>23.53</v>
      </c>
      <c r="T590" t="s">
        <v>33</v>
      </c>
      <c r="U590">
        <v>2014</v>
      </c>
    </row>
    <row r="591" spans="1:21" x14ac:dyDescent="0.3">
      <c r="A591" t="s">
        <v>2536</v>
      </c>
      <c r="B591" s="1">
        <v>41501</v>
      </c>
      <c r="C591" s="1">
        <v>41507</v>
      </c>
      <c r="D591" t="s">
        <v>22</v>
      </c>
      <c r="E591" t="s">
        <v>1653</v>
      </c>
      <c r="F591" t="s">
        <v>36</v>
      </c>
      <c r="G591" t="s">
        <v>1967</v>
      </c>
      <c r="H591" t="s">
        <v>316</v>
      </c>
      <c r="I591" t="s">
        <v>27</v>
      </c>
      <c r="J591" t="s">
        <v>212</v>
      </c>
      <c r="K591" t="s">
        <v>1514</v>
      </c>
      <c r="L591" t="s">
        <v>30</v>
      </c>
      <c r="M591" t="s">
        <v>31</v>
      </c>
      <c r="N591" t="s">
        <v>1019</v>
      </c>
      <c r="O591" s="2">
        <v>23</v>
      </c>
      <c r="P591">
        <v>3</v>
      </c>
      <c r="Q591" s="3">
        <v>0.1</v>
      </c>
      <c r="R591" s="2">
        <v>0.48599999999999999</v>
      </c>
      <c r="S591" s="2">
        <v>2.4500000000000002</v>
      </c>
      <c r="T591" t="s">
        <v>33</v>
      </c>
      <c r="U591">
        <v>2013</v>
      </c>
    </row>
    <row r="592" spans="1:21" x14ac:dyDescent="0.3">
      <c r="A592" t="s">
        <v>2537</v>
      </c>
      <c r="B592" s="1">
        <v>40774</v>
      </c>
      <c r="C592" s="1">
        <v>40774</v>
      </c>
      <c r="D592" t="s">
        <v>232</v>
      </c>
      <c r="E592" t="s">
        <v>972</v>
      </c>
      <c r="F592" t="s">
        <v>24</v>
      </c>
      <c r="G592" t="s">
        <v>315</v>
      </c>
      <c r="H592" t="s">
        <v>316</v>
      </c>
      <c r="I592" t="s">
        <v>27</v>
      </c>
      <c r="J592" t="s">
        <v>212</v>
      </c>
      <c r="K592" t="s">
        <v>2538</v>
      </c>
      <c r="L592" t="s">
        <v>146</v>
      </c>
      <c r="M592" t="s">
        <v>147</v>
      </c>
      <c r="N592" t="s">
        <v>1521</v>
      </c>
      <c r="O592" s="2">
        <v>359</v>
      </c>
      <c r="P592">
        <v>5</v>
      </c>
      <c r="Q592" s="3">
        <v>0.1</v>
      </c>
      <c r="R592" s="2">
        <v>11.835000000000001</v>
      </c>
      <c r="S592" s="2">
        <v>113.45</v>
      </c>
      <c r="T592" t="s">
        <v>99</v>
      </c>
      <c r="U592">
        <v>2011</v>
      </c>
    </row>
    <row r="593" spans="1:21" x14ac:dyDescent="0.3">
      <c r="A593" t="s">
        <v>2539</v>
      </c>
      <c r="B593" s="1">
        <v>41866</v>
      </c>
      <c r="C593" s="1">
        <v>41869</v>
      </c>
      <c r="D593" t="s">
        <v>45</v>
      </c>
      <c r="E593" t="s">
        <v>2540</v>
      </c>
      <c r="F593" t="s">
        <v>54</v>
      </c>
      <c r="G593" t="s">
        <v>2541</v>
      </c>
      <c r="H593" t="s">
        <v>281</v>
      </c>
      <c r="I593" t="s">
        <v>39</v>
      </c>
      <c r="J593" t="s">
        <v>40</v>
      </c>
      <c r="K593" t="s">
        <v>2542</v>
      </c>
      <c r="L593" t="s">
        <v>146</v>
      </c>
      <c r="M593" t="s">
        <v>271</v>
      </c>
      <c r="N593" t="s">
        <v>2543</v>
      </c>
      <c r="O593" s="2">
        <v>1161</v>
      </c>
      <c r="P593">
        <v>7</v>
      </c>
      <c r="Q593" s="3">
        <v>0</v>
      </c>
      <c r="R593" s="2">
        <v>452.76</v>
      </c>
      <c r="S593" s="2">
        <v>162.57</v>
      </c>
      <c r="T593" t="s">
        <v>99</v>
      </c>
      <c r="U593">
        <v>2014</v>
      </c>
    </row>
    <row r="594" spans="1:21" x14ac:dyDescent="0.3">
      <c r="A594" t="s">
        <v>2544</v>
      </c>
      <c r="B594" s="1">
        <v>41503</v>
      </c>
      <c r="C594" s="1">
        <v>41507</v>
      </c>
      <c r="D594" t="s">
        <v>45</v>
      </c>
      <c r="E594" t="s">
        <v>2545</v>
      </c>
      <c r="F594" t="s">
        <v>54</v>
      </c>
      <c r="G594" t="s">
        <v>2546</v>
      </c>
      <c r="H594" t="s">
        <v>2547</v>
      </c>
      <c r="I594" t="s">
        <v>117</v>
      </c>
      <c r="J594" t="s">
        <v>117</v>
      </c>
      <c r="K594" t="s">
        <v>2548</v>
      </c>
      <c r="L594" t="s">
        <v>30</v>
      </c>
      <c r="M594" t="s">
        <v>410</v>
      </c>
      <c r="N594" t="s">
        <v>2549</v>
      </c>
      <c r="O594" s="2">
        <v>4</v>
      </c>
      <c r="P594">
        <v>1</v>
      </c>
      <c r="Q594" s="3">
        <v>0.7</v>
      </c>
      <c r="R594" s="2">
        <v>-5.4870000000000001</v>
      </c>
      <c r="S594" s="2">
        <v>0.36</v>
      </c>
      <c r="T594" t="s">
        <v>33</v>
      </c>
      <c r="U594">
        <v>2013</v>
      </c>
    </row>
    <row r="595" spans="1:21" x14ac:dyDescent="0.3">
      <c r="A595" t="s">
        <v>2550</v>
      </c>
      <c r="B595" s="1">
        <v>41869</v>
      </c>
      <c r="C595" s="1">
        <v>41874</v>
      </c>
      <c r="D595" t="s">
        <v>22</v>
      </c>
      <c r="E595" t="s">
        <v>2551</v>
      </c>
      <c r="F595" t="s">
        <v>54</v>
      </c>
      <c r="G595" t="s">
        <v>2146</v>
      </c>
      <c r="H595" t="s">
        <v>152</v>
      </c>
      <c r="I595" t="s">
        <v>27</v>
      </c>
      <c r="J595" t="s">
        <v>153</v>
      </c>
      <c r="K595" t="s">
        <v>2552</v>
      </c>
      <c r="L595" t="s">
        <v>59</v>
      </c>
      <c r="M595" t="s">
        <v>139</v>
      </c>
      <c r="N595" t="s">
        <v>2553</v>
      </c>
      <c r="O595" s="2">
        <v>326</v>
      </c>
      <c r="P595">
        <v>4</v>
      </c>
      <c r="Q595" s="3">
        <v>0</v>
      </c>
      <c r="R595" s="2">
        <v>123.72</v>
      </c>
      <c r="S595" s="2">
        <v>17.28</v>
      </c>
      <c r="T595" t="s">
        <v>33</v>
      </c>
      <c r="U595">
        <v>2014</v>
      </c>
    </row>
    <row r="596" spans="1:21" x14ac:dyDescent="0.3">
      <c r="A596" t="s">
        <v>2554</v>
      </c>
      <c r="B596" s="1">
        <v>41129</v>
      </c>
      <c r="C596" s="1">
        <v>41131</v>
      </c>
      <c r="D596" t="s">
        <v>45</v>
      </c>
      <c r="E596" t="s">
        <v>1983</v>
      </c>
      <c r="F596" t="s">
        <v>24</v>
      </c>
      <c r="G596" t="s">
        <v>728</v>
      </c>
      <c r="H596" t="s">
        <v>87</v>
      </c>
      <c r="I596" t="s">
        <v>88</v>
      </c>
      <c r="J596" t="s">
        <v>88</v>
      </c>
      <c r="K596" t="s">
        <v>2555</v>
      </c>
      <c r="L596" t="s">
        <v>30</v>
      </c>
      <c r="M596" t="s">
        <v>90</v>
      </c>
      <c r="N596" t="s">
        <v>2556</v>
      </c>
      <c r="O596" s="2">
        <v>20</v>
      </c>
      <c r="P596">
        <v>1</v>
      </c>
      <c r="Q596" s="3">
        <v>0.6</v>
      </c>
      <c r="R596" s="2">
        <v>-4.9080000000000004</v>
      </c>
      <c r="S596" s="2">
        <v>4.87</v>
      </c>
      <c r="T596" t="s">
        <v>68</v>
      </c>
      <c r="U596">
        <v>2012</v>
      </c>
    </row>
    <row r="597" spans="1:21" x14ac:dyDescent="0.3">
      <c r="A597" t="s">
        <v>2557</v>
      </c>
      <c r="B597" s="1">
        <v>41890</v>
      </c>
      <c r="C597" s="1">
        <v>41892</v>
      </c>
      <c r="D597" t="s">
        <v>84</v>
      </c>
      <c r="E597" t="s">
        <v>400</v>
      </c>
      <c r="F597" t="s">
        <v>54</v>
      </c>
      <c r="G597" t="s">
        <v>2558</v>
      </c>
      <c r="H597" t="s">
        <v>402</v>
      </c>
      <c r="I597" t="s">
        <v>39</v>
      </c>
      <c r="J597" t="s">
        <v>236</v>
      </c>
      <c r="K597" t="s">
        <v>2559</v>
      </c>
      <c r="L597" t="s">
        <v>30</v>
      </c>
      <c r="M597" t="s">
        <v>105</v>
      </c>
      <c r="N597" t="s">
        <v>334</v>
      </c>
      <c r="O597" s="2">
        <v>9</v>
      </c>
      <c r="P597">
        <v>1</v>
      </c>
      <c r="Q597" s="3">
        <v>0</v>
      </c>
      <c r="R597" s="2">
        <v>1.76</v>
      </c>
      <c r="S597" s="2">
        <v>2.63</v>
      </c>
      <c r="T597" t="s">
        <v>68</v>
      </c>
      <c r="U597">
        <v>2014</v>
      </c>
    </row>
    <row r="598" spans="1:21" x14ac:dyDescent="0.3">
      <c r="A598" t="s">
        <v>2560</v>
      </c>
      <c r="B598" s="1">
        <v>40784</v>
      </c>
      <c r="C598" s="1">
        <v>40791</v>
      </c>
      <c r="D598" t="s">
        <v>22</v>
      </c>
      <c r="E598" t="s">
        <v>2561</v>
      </c>
      <c r="F598" t="s">
        <v>24</v>
      </c>
      <c r="G598" t="s">
        <v>315</v>
      </c>
      <c r="H598" t="s">
        <v>316</v>
      </c>
      <c r="I598" t="s">
        <v>27</v>
      </c>
      <c r="J598" t="s">
        <v>212</v>
      </c>
      <c r="K598" t="s">
        <v>2562</v>
      </c>
      <c r="L598" t="s">
        <v>59</v>
      </c>
      <c r="M598" t="s">
        <v>329</v>
      </c>
      <c r="N598" t="s">
        <v>2563</v>
      </c>
      <c r="O598" s="2">
        <v>2301</v>
      </c>
      <c r="P598">
        <v>7</v>
      </c>
      <c r="Q598" s="3">
        <v>0.3</v>
      </c>
      <c r="R598" s="2">
        <v>-953.44200000000001</v>
      </c>
      <c r="S598" s="2">
        <v>283.36</v>
      </c>
      <c r="T598" t="s">
        <v>77</v>
      </c>
      <c r="U598">
        <v>2011</v>
      </c>
    </row>
    <row r="599" spans="1:21" x14ac:dyDescent="0.3">
      <c r="A599" t="s">
        <v>2564</v>
      </c>
      <c r="B599" s="1">
        <v>41875</v>
      </c>
      <c r="C599" s="1">
        <v>41878</v>
      </c>
      <c r="D599" t="s">
        <v>45</v>
      </c>
      <c r="E599" t="s">
        <v>2565</v>
      </c>
      <c r="F599" t="s">
        <v>54</v>
      </c>
      <c r="G599" t="s">
        <v>1105</v>
      </c>
      <c r="H599" t="s">
        <v>135</v>
      </c>
      <c r="I599" t="s">
        <v>136</v>
      </c>
      <c r="J599" t="s">
        <v>40</v>
      </c>
      <c r="K599" t="s">
        <v>2566</v>
      </c>
      <c r="L599" t="s">
        <v>146</v>
      </c>
      <c r="M599" t="s">
        <v>147</v>
      </c>
      <c r="N599" t="s">
        <v>2567</v>
      </c>
      <c r="O599" s="2">
        <v>4368</v>
      </c>
      <c r="P599">
        <v>13</v>
      </c>
      <c r="Q599" s="3">
        <v>0.2</v>
      </c>
      <c r="R599" s="2">
        <v>327.59219999999999</v>
      </c>
      <c r="S599" s="2">
        <v>609.44000000000005</v>
      </c>
      <c r="T599" t="s">
        <v>33</v>
      </c>
      <c r="U599">
        <v>2014</v>
      </c>
    </row>
    <row r="600" spans="1:21" x14ac:dyDescent="0.3">
      <c r="A600" t="s">
        <v>2568</v>
      </c>
      <c r="B600" s="1">
        <v>41870</v>
      </c>
      <c r="C600" s="1">
        <v>41874</v>
      </c>
      <c r="D600" t="s">
        <v>45</v>
      </c>
      <c r="E600" t="s">
        <v>1812</v>
      </c>
      <c r="F600" t="s">
        <v>54</v>
      </c>
      <c r="G600" t="s">
        <v>223</v>
      </c>
      <c r="H600" t="s">
        <v>224</v>
      </c>
      <c r="I600" t="s">
        <v>49</v>
      </c>
      <c r="J600" t="s">
        <v>40</v>
      </c>
      <c r="K600" t="s">
        <v>2569</v>
      </c>
      <c r="L600" t="s">
        <v>30</v>
      </c>
      <c r="M600" t="s">
        <v>31</v>
      </c>
      <c r="N600" t="s">
        <v>2570</v>
      </c>
      <c r="O600" s="2">
        <v>345</v>
      </c>
      <c r="P600">
        <v>7</v>
      </c>
      <c r="Q600" s="3">
        <v>0</v>
      </c>
      <c r="R600" s="2">
        <v>37.799999999999997</v>
      </c>
      <c r="S600" s="2">
        <v>20.93</v>
      </c>
      <c r="T600" t="s">
        <v>33</v>
      </c>
      <c r="U600">
        <v>2014</v>
      </c>
    </row>
    <row r="601" spans="1:21" x14ac:dyDescent="0.3">
      <c r="A601" t="s">
        <v>2571</v>
      </c>
      <c r="B601" s="1">
        <v>41372</v>
      </c>
      <c r="C601" s="1">
        <v>41378</v>
      </c>
      <c r="D601" t="s">
        <v>22</v>
      </c>
      <c r="E601" t="s">
        <v>2572</v>
      </c>
      <c r="F601" t="s">
        <v>54</v>
      </c>
      <c r="G601" t="s">
        <v>607</v>
      </c>
      <c r="H601" t="s">
        <v>235</v>
      </c>
      <c r="I601" t="s">
        <v>39</v>
      </c>
      <c r="J601" t="s">
        <v>236</v>
      </c>
      <c r="K601" t="s">
        <v>2573</v>
      </c>
      <c r="L601" t="s">
        <v>146</v>
      </c>
      <c r="M601" t="s">
        <v>271</v>
      </c>
      <c r="N601" t="s">
        <v>2574</v>
      </c>
      <c r="O601" s="2">
        <v>274</v>
      </c>
      <c r="P601">
        <v>2</v>
      </c>
      <c r="Q601" s="3">
        <v>0.2</v>
      </c>
      <c r="R601" s="2">
        <v>6.8239999999999998</v>
      </c>
      <c r="S601" s="2">
        <v>25.53</v>
      </c>
      <c r="T601" t="s">
        <v>33</v>
      </c>
      <c r="U601">
        <v>2013</v>
      </c>
    </row>
    <row r="602" spans="1:21" x14ac:dyDescent="0.3">
      <c r="A602" t="s">
        <v>2575</v>
      </c>
      <c r="B602" s="1">
        <v>41509</v>
      </c>
      <c r="C602" s="1">
        <v>41513</v>
      </c>
      <c r="D602" t="s">
        <v>22</v>
      </c>
      <c r="E602" t="s">
        <v>2576</v>
      </c>
      <c r="F602" t="s">
        <v>54</v>
      </c>
      <c r="G602" t="s">
        <v>204</v>
      </c>
      <c r="H602" t="s">
        <v>205</v>
      </c>
      <c r="I602" t="s">
        <v>49</v>
      </c>
      <c r="J602" t="s">
        <v>57</v>
      </c>
      <c r="K602" t="s">
        <v>2577</v>
      </c>
      <c r="L602" t="s">
        <v>59</v>
      </c>
      <c r="M602" t="s">
        <v>329</v>
      </c>
      <c r="N602" t="s">
        <v>2578</v>
      </c>
      <c r="O602" s="2">
        <v>657</v>
      </c>
      <c r="P602">
        <v>3</v>
      </c>
      <c r="Q602" s="3">
        <v>0.35</v>
      </c>
      <c r="R602" s="2">
        <v>-252.95849999999999</v>
      </c>
      <c r="S602" s="2">
        <v>76.349999999999994</v>
      </c>
      <c r="T602" t="s">
        <v>99</v>
      </c>
      <c r="U602">
        <v>2013</v>
      </c>
    </row>
    <row r="603" spans="1:21" x14ac:dyDescent="0.3">
      <c r="A603" t="s">
        <v>2579</v>
      </c>
      <c r="B603" s="1">
        <v>40774</v>
      </c>
      <c r="C603" s="1">
        <v>40778</v>
      </c>
      <c r="D603" t="s">
        <v>22</v>
      </c>
      <c r="E603" t="s">
        <v>2580</v>
      </c>
      <c r="F603" t="s">
        <v>24</v>
      </c>
      <c r="G603" t="s">
        <v>2581</v>
      </c>
      <c r="H603" t="s">
        <v>152</v>
      </c>
      <c r="I603" t="s">
        <v>27</v>
      </c>
      <c r="J603" t="s">
        <v>153</v>
      </c>
      <c r="K603" t="s">
        <v>2582</v>
      </c>
      <c r="L603" t="s">
        <v>30</v>
      </c>
      <c r="M603" t="s">
        <v>410</v>
      </c>
      <c r="N603" t="s">
        <v>2583</v>
      </c>
      <c r="O603" s="2">
        <v>243</v>
      </c>
      <c r="P603">
        <v>7</v>
      </c>
      <c r="Q603" s="3">
        <v>0</v>
      </c>
      <c r="R603" s="2">
        <v>63</v>
      </c>
      <c r="S603" s="2">
        <v>19.61</v>
      </c>
      <c r="T603" t="s">
        <v>33</v>
      </c>
      <c r="U603">
        <v>2011</v>
      </c>
    </row>
    <row r="604" spans="1:21" x14ac:dyDescent="0.3">
      <c r="A604" t="s">
        <v>2584</v>
      </c>
      <c r="B604" s="1">
        <v>40777</v>
      </c>
      <c r="C604" s="1">
        <v>40782</v>
      </c>
      <c r="D604" t="s">
        <v>22</v>
      </c>
      <c r="E604" t="s">
        <v>2585</v>
      </c>
      <c r="F604" t="s">
        <v>24</v>
      </c>
      <c r="G604" t="s">
        <v>374</v>
      </c>
      <c r="H604" t="s">
        <v>316</v>
      </c>
      <c r="I604" t="s">
        <v>27</v>
      </c>
      <c r="J604" t="s">
        <v>212</v>
      </c>
      <c r="K604" t="s">
        <v>2586</v>
      </c>
      <c r="L604" t="s">
        <v>30</v>
      </c>
      <c r="M604" t="s">
        <v>97</v>
      </c>
      <c r="N604" t="s">
        <v>2587</v>
      </c>
      <c r="O604" s="2">
        <v>54</v>
      </c>
      <c r="P604">
        <v>3</v>
      </c>
      <c r="Q604" s="3">
        <v>0.1</v>
      </c>
      <c r="R604" s="2">
        <v>-1.1970000000000001</v>
      </c>
      <c r="S604" s="2">
        <v>1.08</v>
      </c>
      <c r="T604" t="s">
        <v>33</v>
      </c>
      <c r="U604">
        <v>2011</v>
      </c>
    </row>
    <row r="605" spans="1:21" x14ac:dyDescent="0.3">
      <c r="A605" t="s">
        <v>2588</v>
      </c>
      <c r="B605" s="1">
        <v>41137</v>
      </c>
      <c r="C605" s="1">
        <v>41142</v>
      </c>
      <c r="D605" t="s">
        <v>22</v>
      </c>
      <c r="E605" t="s">
        <v>1782</v>
      </c>
      <c r="F605" t="s">
        <v>24</v>
      </c>
      <c r="G605" t="s">
        <v>127</v>
      </c>
      <c r="H605" t="s">
        <v>128</v>
      </c>
      <c r="I605" t="s">
        <v>49</v>
      </c>
      <c r="J605" t="s">
        <v>129</v>
      </c>
      <c r="K605" t="s">
        <v>2589</v>
      </c>
      <c r="L605" t="s">
        <v>30</v>
      </c>
      <c r="M605" t="s">
        <v>31</v>
      </c>
      <c r="N605" t="s">
        <v>2590</v>
      </c>
      <c r="O605" s="2">
        <v>88</v>
      </c>
      <c r="P605">
        <v>3</v>
      </c>
      <c r="Q605" s="3">
        <v>0</v>
      </c>
      <c r="R605" s="2">
        <v>18.54</v>
      </c>
      <c r="S605" s="2">
        <v>7.64</v>
      </c>
      <c r="T605" t="s">
        <v>33</v>
      </c>
      <c r="U605">
        <v>2012</v>
      </c>
    </row>
    <row r="606" spans="1:21" x14ac:dyDescent="0.3">
      <c r="A606" t="s">
        <v>2591</v>
      </c>
      <c r="B606" s="1">
        <v>41129</v>
      </c>
      <c r="C606" s="1">
        <v>41131</v>
      </c>
      <c r="D606" t="s">
        <v>84</v>
      </c>
      <c r="E606" t="s">
        <v>2337</v>
      </c>
      <c r="F606" t="s">
        <v>24</v>
      </c>
      <c r="G606" t="s">
        <v>295</v>
      </c>
      <c r="H606" t="s">
        <v>296</v>
      </c>
      <c r="I606" t="s">
        <v>88</v>
      </c>
      <c r="J606" t="s">
        <v>88</v>
      </c>
      <c r="K606" t="s">
        <v>2592</v>
      </c>
      <c r="L606" t="s">
        <v>59</v>
      </c>
      <c r="M606" t="s">
        <v>329</v>
      </c>
      <c r="N606" t="s">
        <v>2593</v>
      </c>
      <c r="O606" s="2">
        <v>1978</v>
      </c>
      <c r="P606">
        <v>4</v>
      </c>
      <c r="Q606" s="3">
        <v>0</v>
      </c>
      <c r="R606" s="2">
        <v>276.83999999999997</v>
      </c>
      <c r="S606" s="2">
        <v>759.47</v>
      </c>
      <c r="T606" t="s">
        <v>68</v>
      </c>
      <c r="U606">
        <v>2012</v>
      </c>
    </row>
    <row r="607" spans="1:21" x14ac:dyDescent="0.3">
      <c r="A607" t="s">
        <v>2594</v>
      </c>
      <c r="B607" s="1">
        <v>41509</v>
      </c>
      <c r="C607" s="1">
        <v>41513</v>
      </c>
      <c r="D607" t="s">
        <v>22</v>
      </c>
      <c r="E607" t="s">
        <v>2595</v>
      </c>
      <c r="F607" t="s">
        <v>24</v>
      </c>
      <c r="G607" t="s">
        <v>1089</v>
      </c>
      <c r="H607" t="s">
        <v>135</v>
      </c>
      <c r="I607" t="s">
        <v>136</v>
      </c>
      <c r="J607" t="s">
        <v>137</v>
      </c>
      <c r="K607" t="s">
        <v>2596</v>
      </c>
      <c r="L607" t="s">
        <v>30</v>
      </c>
      <c r="M607" t="s">
        <v>105</v>
      </c>
      <c r="N607" t="s">
        <v>2597</v>
      </c>
      <c r="O607" s="2">
        <v>19</v>
      </c>
      <c r="P607">
        <v>3</v>
      </c>
      <c r="Q607" s="3">
        <v>0</v>
      </c>
      <c r="R607" s="2">
        <v>9.3312000000000008</v>
      </c>
      <c r="S607" s="2">
        <v>0.46</v>
      </c>
      <c r="T607" t="s">
        <v>99</v>
      </c>
      <c r="U607">
        <v>2013</v>
      </c>
    </row>
    <row r="608" spans="1:21" x14ac:dyDescent="0.3">
      <c r="A608" t="s">
        <v>2598</v>
      </c>
      <c r="B608" s="1">
        <v>41981</v>
      </c>
      <c r="C608" s="1">
        <v>41983</v>
      </c>
      <c r="D608" t="s">
        <v>84</v>
      </c>
      <c r="E608" t="s">
        <v>1643</v>
      </c>
      <c r="F608" t="s">
        <v>54</v>
      </c>
      <c r="G608" t="s">
        <v>252</v>
      </c>
      <c r="H608" t="s">
        <v>144</v>
      </c>
      <c r="I608" t="s">
        <v>117</v>
      </c>
      <c r="J608" t="s">
        <v>117</v>
      </c>
      <c r="K608" t="s">
        <v>2599</v>
      </c>
      <c r="L608" t="s">
        <v>59</v>
      </c>
      <c r="M608" t="s">
        <v>60</v>
      </c>
      <c r="N608" t="s">
        <v>2600</v>
      </c>
      <c r="O608" s="2">
        <v>64</v>
      </c>
      <c r="P608">
        <v>2</v>
      </c>
      <c r="Q608" s="3">
        <v>0.7</v>
      </c>
      <c r="R608" s="2">
        <v>-62.118000000000002</v>
      </c>
      <c r="S608" s="2">
        <v>18.190000000000001</v>
      </c>
      <c r="T608" t="s">
        <v>99</v>
      </c>
      <c r="U608">
        <v>2014</v>
      </c>
    </row>
    <row r="609" spans="1:21" x14ac:dyDescent="0.3">
      <c r="A609" t="s">
        <v>2601</v>
      </c>
      <c r="B609" s="1">
        <v>41872</v>
      </c>
      <c r="C609" s="1">
        <v>41877</v>
      </c>
      <c r="D609" t="s">
        <v>22</v>
      </c>
      <c r="E609" t="s">
        <v>2602</v>
      </c>
      <c r="F609" t="s">
        <v>24</v>
      </c>
      <c r="G609" t="s">
        <v>210</v>
      </c>
      <c r="H609" t="s">
        <v>211</v>
      </c>
      <c r="I609" t="s">
        <v>27</v>
      </c>
      <c r="J609" t="s">
        <v>212</v>
      </c>
      <c r="K609" t="s">
        <v>2603</v>
      </c>
      <c r="L609" t="s">
        <v>30</v>
      </c>
      <c r="M609" t="s">
        <v>66</v>
      </c>
      <c r="N609" t="s">
        <v>2604</v>
      </c>
      <c r="O609" s="2">
        <v>249</v>
      </c>
      <c r="P609">
        <v>4</v>
      </c>
      <c r="Q609" s="3">
        <v>0</v>
      </c>
      <c r="R609" s="2">
        <v>104.28</v>
      </c>
      <c r="S609" s="2">
        <v>16.399999999999999</v>
      </c>
      <c r="T609" t="s">
        <v>33</v>
      </c>
      <c r="U609">
        <v>2014</v>
      </c>
    </row>
    <row r="610" spans="1:21" x14ac:dyDescent="0.3">
      <c r="A610" t="s">
        <v>2605</v>
      </c>
      <c r="B610" s="1">
        <v>41505</v>
      </c>
      <c r="C610" s="1">
        <v>41506</v>
      </c>
      <c r="D610" t="s">
        <v>84</v>
      </c>
      <c r="E610" t="s">
        <v>621</v>
      </c>
      <c r="F610" t="s">
        <v>36</v>
      </c>
      <c r="G610" t="s">
        <v>2606</v>
      </c>
      <c r="H610" t="s">
        <v>144</v>
      </c>
      <c r="I610" t="s">
        <v>117</v>
      </c>
      <c r="J610" t="s">
        <v>117</v>
      </c>
      <c r="K610" t="s">
        <v>2607</v>
      </c>
      <c r="L610" t="s">
        <v>30</v>
      </c>
      <c r="M610" t="s">
        <v>75</v>
      </c>
      <c r="N610" t="s">
        <v>2608</v>
      </c>
      <c r="O610" s="2">
        <v>3</v>
      </c>
      <c r="P610">
        <v>1</v>
      </c>
      <c r="Q610" s="3">
        <v>0.7</v>
      </c>
      <c r="R610" s="2">
        <v>-6.06</v>
      </c>
      <c r="S610" s="2">
        <v>0.28999999999999998</v>
      </c>
      <c r="T610" t="s">
        <v>33</v>
      </c>
      <c r="U610">
        <v>2013</v>
      </c>
    </row>
    <row r="611" spans="1:21" x14ac:dyDescent="0.3">
      <c r="A611" t="s">
        <v>2609</v>
      </c>
      <c r="B611" s="1">
        <v>41068</v>
      </c>
      <c r="C611" s="1">
        <v>41072</v>
      </c>
      <c r="D611" t="s">
        <v>22</v>
      </c>
      <c r="E611" t="s">
        <v>1693</v>
      </c>
      <c r="F611" t="s">
        <v>54</v>
      </c>
      <c r="G611" t="s">
        <v>158</v>
      </c>
      <c r="H611" t="s">
        <v>135</v>
      </c>
      <c r="I611" t="s">
        <v>136</v>
      </c>
      <c r="J611" t="s">
        <v>57</v>
      </c>
      <c r="K611" t="s">
        <v>2610</v>
      </c>
      <c r="L611" t="s">
        <v>30</v>
      </c>
      <c r="M611" t="s">
        <v>42</v>
      </c>
      <c r="N611" t="s">
        <v>2611</v>
      </c>
      <c r="O611" s="2">
        <v>143</v>
      </c>
      <c r="P611">
        <v>2</v>
      </c>
      <c r="Q611" s="3">
        <v>0.8</v>
      </c>
      <c r="R611" s="2">
        <v>-393.60199999999998</v>
      </c>
      <c r="S611" s="2">
        <v>1.56</v>
      </c>
      <c r="T611" t="s">
        <v>33</v>
      </c>
      <c r="U611">
        <v>2012</v>
      </c>
    </row>
    <row r="612" spans="1:21" x14ac:dyDescent="0.3">
      <c r="A612" t="s">
        <v>2612</v>
      </c>
      <c r="B612" s="1">
        <v>41517</v>
      </c>
      <c r="C612" s="1">
        <v>41519</v>
      </c>
      <c r="D612" t="s">
        <v>84</v>
      </c>
      <c r="E612" t="s">
        <v>2565</v>
      </c>
      <c r="F612" t="s">
        <v>54</v>
      </c>
      <c r="G612" t="s">
        <v>574</v>
      </c>
      <c r="H612" t="s">
        <v>135</v>
      </c>
      <c r="I612" t="s">
        <v>136</v>
      </c>
      <c r="J612" t="s">
        <v>396</v>
      </c>
      <c r="K612" t="s">
        <v>2613</v>
      </c>
      <c r="L612" t="s">
        <v>146</v>
      </c>
      <c r="M612" t="s">
        <v>147</v>
      </c>
      <c r="N612" t="s">
        <v>2614</v>
      </c>
      <c r="O612" s="2">
        <v>291</v>
      </c>
      <c r="P612">
        <v>3</v>
      </c>
      <c r="Q612" s="3">
        <v>0.4</v>
      </c>
      <c r="R612" s="2">
        <v>-67.876199999999997</v>
      </c>
      <c r="S612" s="2">
        <v>55.88</v>
      </c>
      <c r="T612" t="s">
        <v>99</v>
      </c>
      <c r="U612">
        <v>2013</v>
      </c>
    </row>
    <row r="613" spans="1:21" x14ac:dyDescent="0.3">
      <c r="A613" t="s">
        <v>2615</v>
      </c>
      <c r="B613" s="1">
        <v>41510</v>
      </c>
      <c r="C613" s="1">
        <v>41516</v>
      </c>
      <c r="D613" t="s">
        <v>22</v>
      </c>
      <c r="E613" t="s">
        <v>829</v>
      </c>
      <c r="F613" t="s">
        <v>36</v>
      </c>
      <c r="G613" t="s">
        <v>2616</v>
      </c>
      <c r="H613" t="s">
        <v>135</v>
      </c>
      <c r="I613" t="s">
        <v>136</v>
      </c>
      <c r="J613" t="s">
        <v>57</v>
      </c>
      <c r="K613" t="s">
        <v>2617</v>
      </c>
      <c r="L613" t="s">
        <v>30</v>
      </c>
      <c r="M613" t="s">
        <v>75</v>
      </c>
      <c r="N613" t="s">
        <v>2618</v>
      </c>
      <c r="O613" s="2">
        <v>38</v>
      </c>
      <c r="P613">
        <v>3</v>
      </c>
      <c r="Q613" s="3">
        <v>0</v>
      </c>
      <c r="R613" s="2">
        <v>17.667300000000001</v>
      </c>
      <c r="S613" s="2">
        <v>2.09</v>
      </c>
      <c r="T613" t="s">
        <v>33</v>
      </c>
      <c r="U613">
        <v>2013</v>
      </c>
    </row>
    <row r="614" spans="1:21" x14ac:dyDescent="0.3">
      <c r="A614" t="s">
        <v>2619</v>
      </c>
      <c r="B614" s="1">
        <v>40780</v>
      </c>
      <c r="C614" s="1">
        <v>40784</v>
      </c>
      <c r="D614" t="s">
        <v>22</v>
      </c>
      <c r="E614" t="s">
        <v>2400</v>
      </c>
      <c r="F614" t="s">
        <v>54</v>
      </c>
      <c r="G614" t="s">
        <v>86</v>
      </c>
      <c r="H614" t="s">
        <v>87</v>
      </c>
      <c r="I614" t="s">
        <v>88</v>
      </c>
      <c r="J614" t="s">
        <v>88</v>
      </c>
      <c r="K614" t="s">
        <v>2620</v>
      </c>
      <c r="L614" t="s">
        <v>59</v>
      </c>
      <c r="M614" t="s">
        <v>60</v>
      </c>
      <c r="N614" t="s">
        <v>2621</v>
      </c>
      <c r="O614" s="2">
        <v>20</v>
      </c>
      <c r="P614">
        <v>1</v>
      </c>
      <c r="Q614" s="3">
        <v>0.6</v>
      </c>
      <c r="R614" s="2">
        <v>-22.122</v>
      </c>
      <c r="S614" s="2">
        <v>2.63</v>
      </c>
      <c r="T614" t="s">
        <v>99</v>
      </c>
      <c r="U614">
        <v>2011</v>
      </c>
    </row>
    <row r="615" spans="1:21" x14ac:dyDescent="0.3">
      <c r="A615" t="s">
        <v>2622</v>
      </c>
      <c r="B615" s="1">
        <v>41508</v>
      </c>
      <c r="C615" s="1">
        <v>41514</v>
      </c>
      <c r="D615" t="s">
        <v>22</v>
      </c>
      <c r="E615" t="s">
        <v>2623</v>
      </c>
      <c r="F615" t="s">
        <v>36</v>
      </c>
      <c r="G615" t="s">
        <v>257</v>
      </c>
      <c r="H615" t="s">
        <v>135</v>
      </c>
      <c r="I615" t="s">
        <v>136</v>
      </c>
      <c r="J615" t="s">
        <v>40</v>
      </c>
      <c r="K615" t="s">
        <v>2624</v>
      </c>
      <c r="L615" t="s">
        <v>30</v>
      </c>
      <c r="M615" t="s">
        <v>75</v>
      </c>
      <c r="N615" t="s">
        <v>2625</v>
      </c>
      <c r="O615" s="2">
        <v>9</v>
      </c>
      <c r="P615">
        <v>4</v>
      </c>
      <c r="Q615" s="3">
        <v>0.2</v>
      </c>
      <c r="R615" s="2">
        <v>3.3408000000000002</v>
      </c>
      <c r="S615" s="2">
        <v>0.24</v>
      </c>
      <c r="T615" t="s">
        <v>33</v>
      </c>
      <c r="U615">
        <v>2013</v>
      </c>
    </row>
    <row r="616" spans="1:21" x14ac:dyDescent="0.3">
      <c r="A616" t="s">
        <v>2539</v>
      </c>
      <c r="B616" s="1">
        <v>41866</v>
      </c>
      <c r="C616" s="1">
        <v>41869</v>
      </c>
      <c r="D616" t="s">
        <v>45</v>
      </c>
      <c r="E616" t="s">
        <v>2540</v>
      </c>
      <c r="F616" t="s">
        <v>54</v>
      </c>
      <c r="G616" t="s">
        <v>2541</v>
      </c>
      <c r="H616" t="s">
        <v>281</v>
      </c>
      <c r="I616" t="s">
        <v>39</v>
      </c>
      <c r="J616" t="s">
        <v>40</v>
      </c>
      <c r="K616" t="s">
        <v>2626</v>
      </c>
      <c r="L616" t="s">
        <v>30</v>
      </c>
      <c r="M616" t="s">
        <v>75</v>
      </c>
      <c r="N616" t="s">
        <v>2027</v>
      </c>
      <c r="O616" s="2">
        <v>11</v>
      </c>
      <c r="P616">
        <v>2</v>
      </c>
      <c r="Q616" s="3">
        <v>0</v>
      </c>
      <c r="R616" s="2">
        <v>3.72</v>
      </c>
      <c r="S616" s="2">
        <v>1.1299999999999999</v>
      </c>
      <c r="T616" t="s">
        <v>99</v>
      </c>
      <c r="U616">
        <v>2014</v>
      </c>
    </row>
    <row r="617" spans="1:21" x14ac:dyDescent="0.3">
      <c r="A617" t="s">
        <v>2627</v>
      </c>
      <c r="B617" s="1">
        <v>41864</v>
      </c>
      <c r="C617" s="1">
        <v>41868</v>
      </c>
      <c r="D617" t="s">
        <v>22</v>
      </c>
      <c r="E617" t="s">
        <v>2628</v>
      </c>
      <c r="F617" t="s">
        <v>24</v>
      </c>
      <c r="G617" t="s">
        <v>351</v>
      </c>
      <c r="H617" t="s">
        <v>56</v>
      </c>
      <c r="I617" t="s">
        <v>49</v>
      </c>
      <c r="J617" t="s">
        <v>57</v>
      </c>
      <c r="K617" t="s">
        <v>2629</v>
      </c>
      <c r="L617" t="s">
        <v>30</v>
      </c>
      <c r="M617" t="s">
        <v>31</v>
      </c>
      <c r="N617" t="s">
        <v>2630</v>
      </c>
      <c r="O617" s="2">
        <v>22</v>
      </c>
      <c r="P617">
        <v>3</v>
      </c>
      <c r="Q617" s="3">
        <v>0.5</v>
      </c>
      <c r="R617" s="2">
        <v>-2.25</v>
      </c>
      <c r="S617" s="2">
        <v>1.65</v>
      </c>
      <c r="T617" t="s">
        <v>33</v>
      </c>
      <c r="U617">
        <v>2014</v>
      </c>
    </row>
    <row r="618" spans="1:21" x14ac:dyDescent="0.3">
      <c r="A618" t="s">
        <v>2631</v>
      </c>
      <c r="B618" s="1">
        <v>41767</v>
      </c>
      <c r="C618" s="1">
        <v>41773</v>
      </c>
      <c r="D618" t="s">
        <v>22</v>
      </c>
      <c r="E618" t="s">
        <v>2632</v>
      </c>
      <c r="F618" t="s">
        <v>24</v>
      </c>
      <c r="G618" t="s">
        <v>722</v>
      </c>
      <c r="H618" t="s">
        <v>723</v>
      </c>
      <c r="I618" t="s">
        <v>27</v>
      </c>
      <c r="J618" t="s">
        <v>28</v>
      </c>
      <c r="K618" t="s">
        <v>338</v>
      </c>
      <c r="L618" t="s">
        <v>59</v>
      </c>
      <c r="M618" t="s">
        <v>339</v>
      </c>
      <c r="N618" t="s">
        <v>340</v>
      </c>
      <c r="O618" s="2">
        <v>946</v>
      </c>
      <c r="P618">
        <v>4</v>
      </c>
      <c r="Q618" s="3">
        <v>0.35</v>
      </c>
      <c r="R618" s="2">
        <v>-392.892</v>
      </c>
      <c r="S618" s="2">
        <v>57.02</v>
      </c>
      <c r="T618" t="s">
        <v>33</v>
      </c>
      <c r="U618">
        <v>2014</v>
      </c>
    </row>
    <row r="619" spans="1:21" x14ac:dyDescent="0.3">
      <c r="A619" t="s">
        <v>2633</v>
      </c>
      <c r="B619" s="1">
        <v>41508</v>
      </c>
      <c r="C619" s="1">
        <v>41510</v>
      </c>
      <c r="D619" t="s">
        <v>84</v>
      </c>
      <c r="E619" t="s">
        <v>2634</v>
      </c>
      <c r="F619" t="s">
        <v>24</v>
      </c>
      <c r="G619" t="s">
        <v>2635</v>
      </c>
      <c r="H619" t="s">
        <v>402</v>
      </c>
      <c r="I619" t="s">
        <v>39</v>
      </c>
      <c r="J619" t="s">
        <v>236</v>
      </c>
      <c r="K619" t="s">
        <v>2636</v>
      </c>
      <c r="L619" t="s">
        <v>59</v>
      </c>
      <c r="M619" t="s">
        <v>139</v>
      </c>
      <c r="N619" t="s">
        <v>2637</v>
      </c>
      <c r="O619" s="2">
        <v>118</v>
      </c>
      <c r="P619">
        <v>1</v>
      </c>
      <c r="Q619" s="3">
        <v>0</v>
      </c>
      <c r="R619" s="2">
        <v>24.7</v>
      </c>
      <c r="S619" s="2">
        <v>51.36</v>
      </c>
      <c r="T619" t="s">
        <v>68</v>
      </c>
      <c r="U619">
        <v>2013</v>
      </c>
    </row>
    <row r="620" spans="1:21" x14ac:dyDescent="0.3">
      <c r="A620" t="s">
        <v>2638</v>
      </c>
      <c r="B620" s="1">
        <v>41517</v>
      </c>
      <c r="C620" s="1">
        <v>41519</v>
      </c>
      <c r="D620" t="s">
        <v>45</v>
      </c>
      <c r="E620" t="s">
        <v>2355</v>
      </c>
      <c r="F620" t="s">
        <v>54</v>
      </c>
      <c r="G620" t="s">
        <v>463</v>
      </c>
      <c r="H620" t="s">
        <v>48</v>
      </c>
      <c r="I620" t="s">
        <v>49</v>
      </c>
      <c r="J620" t="s">
        <v>40</v>
      </c>
      <c r="K620" t="s">
        <v>2639</v>
      </c>
      <c r="L620" t="s">
        <v>146</v>
      </c>
      <c r="M620" t="s">
        <v>347</v>
      </c>
      <c r="N620" t="s">
        <v>2640</v>
      </c>
      <c r="O620" s="2">
        <v>600</v>
      </c>
      <c r="P620">
        <v>2</v>
      </c>
      <c r="Q620" s="3">
        <v>0</v>
      </c>
      <c r="R620" s="2">
        <v>239.94</v>
      </c>
      <c r="S620" s="2">
        <v>184.11</v>
      </c>
      <c r="T620" t="s">
        <v>68</v>
      </c>
      <c r="U620">
        <v>2013</v>
      </c>
    </row>
    <row r="621" spans="1:21" x14ac:dyDescent="0.3">
      <c r="A621" t="s">
        <v>2641</v>
      </c>
      <c r="B621" s="1">
        <v>41221</v>
      </c>
      <c r="C621" s="1">
        <v>41226</v>
      </c>
      <c r="D621" t="s">
        <v>22</v>
      </c>
      <c r="E621" t="s">
        <v>2642</v>
      </c>
      <c r="F621" t="s">
        <v>54</v>
      </c>
      <c r="G621" t="s">
        <v>395</v>
      </c>
      <c r="H621" t="s">
        <v>135</v>
      </c>
      <c r="I621" t="s">
        <v>136</v>
      </c>
      <c r="J621" t="s">
        <v>396</v>
      </c>
      <c r="K621" t="s">
        <v>2643</v>
      </c>
      <c r="L621" t="s">
        <v>30</v>
      </c>
      <c r="M621" t="s">
        <v>105</v>
      </c>
      <c r="N621" t="s">
        <v>2644</v>
      </c>
      <c r="O621" s="2">
        <v>18</v>
      </c>
      <c r="P621">
        <v>3</v>
      </c>
      <c r="Q621" s="3">
        <v>0</v>
      </c>
      <c r="R621" s="2">
        <v>8.0730000000000004</v>
      </c>
      <c r="S621" s="2">
        <v>1.75</v>
      </c>
      <c r="T621" t="s">
        <v>33</v>
      </c>
      <c r="U621">
        <v>2012</v>
      </c>
    </row>
    <row r="622" spans="1:21" x14ac:dyDescent="0.3">
      <c r="A622" t="s">
        <v>2645</v>
      </c>
      <c r="B622" s="1">
        <v>41221</v>
      </c>
      <c r="C622" s="1">
        <v>41226</v>
      </c>
      <c r="D622" t="s">
        <v>22</v>
      </c>
      <c r="E622" t="s">
        <v>2222</v>
      </c>
      <c r="F622" t="s">
        <v>24</v>
      </c>
      <c r="G622" t="s">
        <v>2646</v>
      </c>
      <c r="H622" t="s">
        <v>211</v>
      </c>
      <c r="I622" t="s">
        <v>27</v>
      </c>
      <c r="J622" t="s">
        <v>212</v>
      </c>
      <c r="K622" t="s">
        <v>2647</v>
      </c>
      <c r="L622" t="s">
        <v>30</v>
      </c>
      <c r="M622" t="s">
        <v>370</v>
      </c>
      <c r="N622" t="s">
        <v>2648</v>
      </c>
      <c r="O622" s="2">
        <v>87</v>
      </c>
      <c r="P622">
        <v>2</v>
      </c>
      <c r="Q622" s="3">
        <v>0</v>
      </c>
      <c r="R622" s="2">
        <v>32.340000000000003</v>
      </c>
      <c r="S622" s="2">
        <v>6.1</v>
      </c>
      <c r="T622" t="s">
        <v>33</v>
      </c>
      <c r="U622">
        <v>2012</v>
      </c>
    </row>
    <row r="623" spans="1:21" x14ac:dyDescent="0.3">
      <c r="A623" t="s">
        <v>2649</v>
      </c>
      <c r="B623" s="1">
        <v>41513</v>
      </c>
      <c r="C623" s="1">
        <v>41517</v>
      </c>
      <c r="D623" t="s">
        <v>22</v>
      </c>
      <c r="E623" t="s">
        <v>228</v>
      </c>
      <c r="F623" t="s">
        <v>24</v>
      </c>
      <c r="G623" t="s">
        <v>2650</v>
      </c>
      <c r="H623" t="s">
        <v>894</v>
      </c>
      <c r="I623" t="s">
        <v>117</v>
      </c>
      <c r="J623" t="s">
        <v>117</v>
      </c>
      <c r="K623" t="s">
        <v>2521</v>
      </c>
      <c r="L623" t="s">
        <v>59</v>
      </c>
      <c r="M623" t="s">
        <v>139</v>
      </c>
      <c r="N623" t="s">
        <v>2522</v>
      </c>
      <c r="O623" s="2">
        <v>1839</v>
      </c>
      <c r="P623">
        <v>4</v>
      </c>
      <c r="Q623" s="3">
        <v>0</v>
      </c>
      <c r="R623" s="2">
        <v>496.32</v>
      </c>
      <c r="S623" s="2">
        <v>121.59</v>
      </c>
      <c r="T623" t="s">
        <v>99</v>
      </c>
      <c r="U623">
        <v>2013</v>
      </c>
    </row>
    <row r="624" spans="1:21" x14ac:dyDescent="0.3">
      <c r="A624" t="s">
        <v>2651</v>
      </c>
      <c r="B624" s="1">
        <v>41876</v>
      </c>
      <c r="C624" s="1">
        <v>41881</v>
      </c>
      <c r="D624" t="s">
        <v>22</v>
      </c>
      <c r="E624" t="s">
        <v>1303</v>
      </c>
      <c r="F624" t="s">
        <v>54</v>
      </c>
      <c r="G624" t="s">
        <v>337</v>
      </c>
      <c r="H624" t="s">
        <v>316</v>
      </c>
      <c r="I624" t="s">
        <v>27</v>
      </c>
      <c r="J624" t="s">
        <v>212</v>
      </c>
      <c r="K624" t="s">
        <v>2652</v>
      </c>
      <c r="L624" t="s">
        <v>30</v>
      </c>
      <c r="M624" t="s">
        <v>42</v>
      </c>
      <c r="N624" t="s">
        <v>2653</v>
      </c>
      <c r="O624" s="2">
        <v>256</v>
      </c>
      <c r="P624">
        <v>5</v>
      </c>
      <c r="Q624" s="3">
        <v>0.1</v>
      </c>
      <c r="R624" s="2">
        <v>-17.22</v>
      </c>
      <c r="S624" s="2">
        <v>26.93</v>
      </c>
      <c r="T624" t="s">
        <v>99</v>
      </c>
      <c r="U624">
        <v>2014</v>
      </c>
    </row>
    <row r="625" spans="1:21" x14ac:dyDescent="0.3">
      <c r="A625" t="s">
        <v>2654</v>
      </c>
      <c r="B625" s="1">
        <v>40794</v>
      </c>
      <c r="C625" s="1">
        <v>40798</v>
      </c>
      <c r="D625" t="s">
        <v>22</v>
      </c>
      <c r="E625" t="s">
        <v>1367</v>
      </c>
      <c r="F625" t="s">
        <v>24</v>
      </c>
      <c r="G625" t="s">
        <v>868</v>
      </c>
      <c r="H625" t="s">
        <v>869</v>
      </c>
      <c r="I625" t="s">
        <v>27</v>
      </c>
      <c r="J625" t="s">
        <v>28</v>
      </c>
      <c r="K625" t="s">
        <v>2655</v>
      </c>
      <c r="L625" t="s">
        <v>30</v>
      </c>
      <c r="M625" t="s">
        <v>31</v>
      </c>
      <c r="N625" t="s">
        <v>2656</v>
      </c>
      <c r="O625" s="2">
        <v>24</v>
      </c>
      <c r="P625">
        <v>1</v>
      </c>
      <c r="Q625" s="3">
        <v>0.17</v>
      </c>
      <c r="R625" s="2">
        <v>9.0704999999999991</v>
      </c>
      <c r="S625" s="2">
        <v>1.97</v>
      </c>
      <c r="T625" t="s">
        <v>33</v>
      </c>
      <c r="U625">
        <v>2011</v>
      </c>
    </row>
    <row r="626" spans="1:21" x14ac:dyDescent="0.3">
      <c r="A626" t="s">
        <v>2657</v>
      </c>
      <c r="B626" s="1">
        <v>41221</v>
      </c>
      <c r="C626" s="1">
        <v>41226</v>
      </c>
      <c r="D626" t="s">
        <v>22</v>
      </c>
      <c r="E626" t="s">
        <v>449</v>
      </c>
      <c r="F626" t="s">
        <v>24</v>
      </c>
      <c r="G626" t="s">
        <v>1524</v>
      </c>
      <c r="H626" t="s">
        <v>205</v>
      </c>
      <c r="I626" t="s">
        <v>49</v>
      </c>
      <c r="J626" t="s">
        <v>57</v>
      </c>
      <c r="K626" t="s">
        <v>2658</v>
      </c>
      <c r="L626" t="s">
        <v>146</v>
      </c>
      <c r="M626" t="s">
        <v>271</v>
      </c>
      <c r="N626" t="s">
        <v>2659</v>
      </c>
      <c r="O626" s="2">
        <v>176</v>
      </c>
      <c r="P626">
        <v>3</v>
      </c>
      <c r="Q626" s="3">
        <v>0</v>
      </c>
      <c r="R626" s="2">
        <v>19.350000000000001</v>
      </c>
      <c r="S626" s="2">
        <v>11.74</v>
      </c>
      <c r="T626" t="s">
        <v>33</v>
      </c>
      <c r="U626">
        <v>2012</v>
      </c>
    </row>
    <row r="627" spans="1:21" x14ac:dyDescent="0.3">
      <c r="A627" t="s">
        <v>2660</v>
      </c>
      <c r="B627" s="1">
        <v>41767</v>
      </c>
      <c r="C627" s="1">
        <v>41772</v>
      </c>
      <c r="D627" t="s">
        <v>22</v>
      </c>
      <c r="E627" t="s">
        <v>2079</v>
      </c>
      <c r="F627" t="s">
        <v>36</v>
      </c>
      <c r="G627" t="s">
        <v>2661</v>
      </c>
      <c r="H627" t="s">
        <v>87</v>
      </c>
      <c r="I627" t="s">
        <v>88</v>
      </c>
      <c r="J627" t="s">
        <v>88</v>
      </c>
      <c r="K627" t="s">
        <v>2662</v>
      </c>
      <c r="L627" t="s">
        <v>146</v>
      </c>
      <c r="M627" t="s">
        <v>271</v>
      </c>
      <c r="N627" t="s">
        <v>2663</v>
      </c>
      <c r="O627" s="2">
        <v>17</v>
      </c>
      <c r="P627">
        <v>1</v>
      </c>
      <c r="Q627" s="3">
        <v>0.6</v>
      </c>
      <c r="R627" s="2">
        <v>-11.622</v>
      </c>
      <c r="S627" s="2">
        <v>1.64</v>
      </c>
      <c r="T627" t="s">
        <v>33</v>
      </c>
      <c r="U627">
        <v>2014</v>
      </c>
    </row>
    <row r="628" spans="1:21" x14ac:dyDescent="0.3">
      <c r="A628" t="s">
        <v>2664</v>
      </c>
      <c r="B628" s="1">
        <v>40781</v>
      </c>
      <c r="C628" s="1">
        <v>40785</v>
      </c>
      <c r="D628" t="s">
        <v>45</v>
      </c>
      <c r="E628" t="s">
        <v>1991</v>
      </c>
      <c r="F628" t="s">
        <v>54</v>
      </c>
      <c r="G628" t="s">
        <v>2665</v>
      </c>
      <c r="H628" t="s">
        <v>56</v>
      </c>
      <c r="I628" t="s">
        <v>49</v>
      </c>
      <c r="J628" t="s">
        <v>57</v>
      </c>
      <c r="K628" t="s">
        <v>2666</v>
      </c>
      <c r="L628" t="s">
        <v>30</v>
      </c>
      <c r="M628" t="s">
        <v>370</v>
      </c>
      <c r="N628" t="s">
        <v>2667</v>
      </c>
      <c r="O628" s="2">
        <v>189</v>
      </c>
      <c r="P628">
        <v>7</v>
      </c>
      <c r="Q628" s="3">
        <v>0</v>
      </c>
      <c r="R628" s="2">
        <v>45.36</v>
      </c>
      <c r="S628" s="2">
        <v>3.09</v>
      </c>
      <c r="T628" t="s">
        <v>33</v>
      </c>
      <c r="U628">
        <v>2011</v>
      </c>
    </row>
    <row r="629" spans="1:21" x14ac:dyDescent="0.3">
      <c r="A629" t="s">
        <v>2668</v>
      </c>
      <c r="B629" s="1">
        <v>40794</v>
      </c>
      <c r="C629" s="1">
        <v>40799</v>
      </c>
      <c r="D629" t="s">
        <v>45</v>
      </c>
      <c r="E629" t="s">
        <v>2669</v>
      </c>
      <c r="F629" t="s">
        <v>54</v>
      </c>
      <c r="G629" t="s">
        <v>569</v>
      </c>
      <c r="H629" t="s">
        <v>135</v>
      </c>
      <c r="I629" t="s">
        <v>136</v>
      </c>
      <c r="J629" t="s">
        <v>57</v>
      </c>
      <c r="K629" t="s">
        <v>2670</v>
      </c>
      <c r="L629" t="s">
        <v>30</v>
      </c>
      <c r="M629" t="s">
        <v>31</v>
      </c>
      <c r="N629" t="s">
        <v>2671</v>
      </c>
      <c r="O629" s="2">
        <v>51</v>
      </c>
      <c r="P629">
        <v>4</v>
      </c>
      <c r="Q629" s="3">
        <v>0.8</v>
      </c>
      <c r="R629" s="2">
        <v>-79.3352</v>
      </c>
      <c r="S629" s="2">
        <v>6.74</v>
      </c>
      <c r="T629" t="s">
        <v>33</v>
      </c>
      <c r="U629">
        <v>2011</v>
      </c>
    </row>
    <row r="630" spans="1:21" x14ac:dyDescent="0.3">
      <c r="A630" t="s">
        <v>2672</v>
      </c>
      <c r="B630" s="1">
        <v>41513</v>
      </c>
      <c r="C630" s="1">
        <v>41514</v>
      </c>
      <c r="D630" t="s">
        <v>84</v>
      </c>
      <c r="E630" t="s">
        <v>2673</v>
      </c>
      <c r="F630" t="s">
        <v>54</v>
      </c>
      <c r="G630" t="s">
        <v>134</v>
      </c>
      <c r="H630" t="s">
        <v>135</v>
      </c>
      <c r="I630" t="s">
        <v>136</v>
      </c>
      <c r="J630" t="s">
        <v>137</v>
      </c>
      <c r="K630" t="s">
        <v>2674</v>
      </c>
      <c r="L630" t="s">
        <v>30</v>
      </c>
      <c r="M630" t="s">
        <v>105</v>
      </c>
      <c r="N630" t="s">
        <v>2675</v>
      </c>
      <c r="O630" s="2">
        <v>155</v>
      </c>
      <c r="P630">
        <v>5</v>
      </c>
      <c r="Q630" s="3">
        <v>0</v>
      </c>
      <c r="R630" s="2">
        <v>69.704999999999998</v>
      </c>
      <c r="S630" s="2">
        <v>7.43</v>
      </c>
      <c r="T630" t="s">
        <v>99</v>
      </c>
      <c r="U630">
        <v>2013</v>
      </c>
    </row>
    <row r="631" spans="1:21" x14ac:dyDescent="0.3">
      <c r="A631" t="s">
        <v>2676</v>
      </c>
      <c r="B631" s="1">
        <v>41880</v>
      </c>
      <c r="C631" s="1">
        <v>41884</v>
      </c>
      <c r="D631" t="s">
        <v>22</v>
      </c>
      <c r="E631" t="s">
        <v>573</v>
      </c>
      <c r="F631" t="s">
        <v>54</v>
      </c>
      <c r="G631" t="s">
        <v>158</v>
      </c>
      <c r="H631" t="s">
        <v>135</v>
      </c>
      <c r="I631" t="s">
        <v>136</v>
      </c>
      <c r="J631" t="s">
        <v>57</v>
      </c>
      <c r="K631" t="s">
        <v>375</v>
      </c>
      <c r="L631" t="s">
        <v>30</v>
      </c>
      <c r="M631" t="s">
        <v>105</v>
      </c>
      <c r="N631" t="s">
        <v>2677</v>
      </c>
      <c r="O631" s="2">
        <v>25</v>
      </c>
      <c r="P631">
        <v>6</v>
      </c>
      <c r="Q631" s="3">
        <v>0.2</v>
      </c>
      <c r="R631" s="2">
        <v>7.92</v>
      </c>
      <c r="S631" s="2">
        <v>4.51</v>
      </c>
      <c r="T631" t="s">
        <v>99</v>
      </c>
      <c r="U631">
        <v>2014</v>
      </c>
    </row>
    <row r="632" spans="1:21" x14ac:dyDescent="0.3">
      <c r="A632" t="s">
        <v>2678</v>
      </c>
      <c r="B632" s="1">
        <v>40779</v>
      </c>
      <c r="C632" s="1">
        <v>40784</v>
      </c>
      <c r="D632" t="s">
        <v>22</v>
      </c>
      <c r="E632" t="s">
        <v>2679</v>
      </c>
      <c r="F632" t="s">
        <v>54</v>
      </c>
      <c r="G632" t="s">
        <v>252</v>
      </c>
      <c r="H632" t="s">
        <v>144</v>
      </c>
      <c r="I632" t="s">
        <v>117</v>
      </c>
      <c r="J632" t="s">
        <v>117</v>
      </c>
      <c r="K632" t="s">
        <v>2680</v>
      </c>
      <c r="L632" t="s">
        <v>59</v>
      </c>
      <c r="M632" t="s">
        <v>339</v>
      </c>
      <c r="N632" t="s">
        <v>2681</v>
      </c>
      <c r="O632" s="2">
        <v>43</v>
      </c>
      <c r="P632">
        <v>1</v>
      </c>
      <c r="Q632" s="3">
        <v>0.7</v>
      </c>
      <c r="R632" s="2">
        <v>-89.754000000000005</v>
      </c>
      <c r="S632" s="2">
        <v>2.35</v>
      </c>
      <c r="T632" t="s">
        <v>33</v>
      </c>
      <c r="U632">
        <v>2011</v>
      </c>
    </row>
    <row r="633" spans="1:21" x14ac:dyDescent="0.3">
      <c r="A633" t="s">
        <v>2682</v>
      </c>
      <c r="B633" s="1">
        <v>40772</v>
      </c>
      <c r="C633" s="1">
        <v>40778</v>
      </c>
      <c r="D633" t="s">
        <v>22</v>
      </c>
      <c r="E633" t="s">
        <v>2182</v>
      </c>
      <c r="F633" t="s">
        <v>54</v>
      </c>
      <c r="G633" t="s">
        <v>2683</v>
      </c>
      <c r="H633" t="s">
        <v>56</v>
      </c>
      <c r="I633" t="s">
        <v>49</v>
      </c>
      <c r="J633" t="s">
        <v>57</v>
      </c>
      <c r="K633" t="s">
        <v>2684</v>
      </c>
      <c r="L633" t="s">
        <v>30</v>
      </c>
      <c r="M633" t="s">
        <v>66</v>
      </c>
      <c r="N633" t="s">
        <v>2685</v>
      </c>
      <c r="O633" s="2">
        <v>195</v>
      </c>
      <c r="P633">
        <v>4</v>
      </c>
      <c r="Q633" s="3">
        <v>0.1</v>
      </c>
      <c r="R633" s="2">
        <v>60.744</v>
      </c>
      <c r="S633" s="2">
        <v>26.1</v>
      </c>
      <c r="T633" t="s">
        <v>77</v>
      </c>
      <c r="U633">
        <v>2011</v>
      </c>
    </row>
    <row r="634" spans="1:21" x14ac:dyDescent="0.3">
      <c r="A634" t="s">
        <v>2686</v>
      </c>
      <c r="B634" s="1">
        <v>40610</v>
      </c>
      <c r="C634" s="1">
        <v>40616</v>
      </c>
      <c r="D634" t="s">
        <v>22</v>
      </c>
      <c r="E634" t="s">
        <v>2282</v>
      </c>
      <c r="F634" t="s">
        <v>54</v>
      </c>
      <c r="G634" t="s">
        <v>2687</v>
      </c>
      <c r="H634" t="s">
        <v>1804</v>
      </c>
      <c r="I634" t="s">
        <v>88</v>
      </c>
      <c r="J634" t="s">
        <v>88</v>
      </c>
      <c r="K634" t="s">
        <v>2688</v>
      </c>
      <c r="L634" t="s">
        <v>59</v>
      </c>
      <c r="M634" t="s">
        <v>60</v>
      </c>
      <c r="N634" t="s">
        <v>2689</v>
      </c>
      <c r="O634" s="2">
        <v>101</v>
      </c>
      <c r="P634">
        <v>4</v>
      </c>
      <c r="Q634" s="3">
        <v>0</v>
      </c>
      <c r="R634" s="2">
        <v>31.2</v>
      </c>
      <c r="S634" s="2">
        <v>8.43</v>
      </c>
      <c r="T634" t="s">
        <v>33</v>
      </c>
      <c r="U634">
        <v>2011</v>
      </c>
    </row>
    <row r="635" spans="1:21" x14ac:dyDescent="0.3">
      <c r="A635" t="s">
        <v>2690</v>
      </c>
      <c r="B635" s="1">
        <v>41586</v>
      </c>
      <c r="C635" s="1">
        <v>41591</v>
      </c>
      <c r="D635" t="s">
        <v>22</v>
      </c>
      <c r="E635" t="s">
        <v>588</v>
      </c>
      <c r="F635" t="s">
        <v>24</v>
      </c>
      <c r="G635" t="s">
        <v>134</v>
      </c>
      <c r="H635" t="s">
        <v>135</v>
      </c>
      <c r="I635" t="s">
        <v>136</v>
      </c>
      <c r="J635" t="s">
        <v>137</v>
      </c>
      <c r="K635" t="s">
        <v>2691</v>
      </c>
      <c r="L635" t="s">
        <v>59</v>
      </c>
      <c r="M635" t="s">
        <v>60</v>
      </c>
      <c r="N635" t="s">
        <v>2692</v>
      </c>
      <c r="O635" s="2">
        <v>15</v>
      </c>
      <c r="P635">
        <v>3</v>
      </c>
      <c r="Q635" s="3">
        <v>0</v>
      </c>
      <c r="R635" s="2">
        <v>6.2244000000000002</v>
      </c>
      <c r="S635" s="2">
        <v>1.04</v>
      </c>
      <c r="T635" t="s">
        <v>33</v>
      </c>
      <c r="U635">
        <v>2013</v>
      </c>
    </row>
    <row r="636" spans="1:21" x14ac:dyDescent="0.3">
      <c r="A636" t="s">
        <v>2693</v>
      </c>
      <c r="B636" s="1">
        <v>40771</v>
      </c>
      <c r="C636" s="1">
        <v>40775</v>
      </c>
      <c r="D636" t="s">
        <v>22</v>
      </c>
      <c r="E636" t="s">
        <v>2694</v>
      </c>
      <c r="F636" t="s">
        <v>54</v>
      </c>
      <c r="G636" t="s">
        <v>607</v>
      </c>
      <c r="H636" t="s">
        <v>235</v>
      </c>
      <c r="I636" t="s">
        <v>39</v>
      </c>
      <c r="J636" t="s">
        <v>236</v>
      </c>
      <c r="K636" t="s">
        <v>2695</v>
      </c>
      <c r="L636" t="s">
        <v>30</v>
      </c>
      <c r="M636" t="s">
        <v>90</v>
      </c>
      <c r="N636" t="s">
        <v>2268</v>
      </c>
      <c r="O636" s="2">
        <v>148</v>
      </c>
      <c r="P636">
        <v>6</v>
      </c>
      <c r="Q636" s="3">
        <v>0.2</v>
      </c>
      <c r="R636" s="2">
        <v>12.864000000000001</v>
      </c>
      <c r="S636" s="2">
        <v>15.36</v>
      </c>
      <c r="T636" t="s">
        <v>33</v>
      </c>
      <c r="U636">
        <v>2011</v>
      </c>
    </row>
    <row r="637" spans="1:21" x14ac:dyDescent="0.3">
      <c r="A637" t="s">
        <v>2696</v>
      </c>
      <c r="B637" s="1">
        <v>40781</v>
      </c>
      <c r="C637" s="1">
        <v>40787</v>
      </c>
      <c r="D637" t="s">
        <v>22</v>
      </c>
      <c r="E637" t="s">
        <v>1615</v>
      </c>
      <c r="F637" t="s">
        <v>36</v>
      </c>
      <c r="G637" t="s">
        <v>589</v>
      </c>
      <c r="H637" t="s">
        <v>135</v>
      </c>
      <c r="I637" t="s">
        <v>136</v>
      </c>
      <c r="J637" t="s">
        <v>396</v>
      </c>
      <c r="K637" t="s">
        <v>2697</v>
      </c>
      <c r="L637" t="s">
        <v>146</v>
      </c>
      <c r="M637" t="s">
        <v>271</v>
      </c>
      <c r="N637" t="s">
        <v>2698</v>
      </c>
      <c r="O637" s="2">
        <v>150</v>
      </c>
      <c r="P637">
        <v>3</v>
      </c>
      <c r="Q637" s="3">
        <v>0</v>
      </c>
      <c r="R637" s="2">
        <v>52.4895</v>
      </c>
      <c r="S637" s="2">
        <v>11.05</v>
      </c>
      <c r="T637" t="s">
        <v>33</v>
      </c>
      <c r="U637">
        <v>2011</v>
      </c>
    </row>
    <row r="638" spans="1:21" x14ac:dyDescent="0.3">
      <c r="A638" t="s">
        <v>2699</v>
      </c>
      <c r="B638" s="1">
        <v>41150</v>
      </c>
      <c r="C638" s="1">
        <v>41157</v>
      </c>
      <c r="D638" t="s">
        <v>22</v>
      </c>
      <c r="E638" t="s">
        <v>2700</v>
      </c>
      <c r="F638" t="s">
        <v>54</v>
      </c>
      <c r="G638" t="s">
        <v>2701</v>
      </c>
      <c r="H638" t="s">
        <v>2702</v>
      </c>
      <c r="I638" t="s">
        <v>49</v>
      </c>
      <c r="J638" t="s">
        <v>57</v>
      </c>
      <c r="K638" t="s">
        <v>2703</v>
      </c>
      <c r="L638" t="s">
        <v>59</v>
      </c>
      <c r="M638" t="s">
        <v>339</v>
      </c>
      <c r="N638" t="s">
        <v>2704</v>
      </c>
      <c r="O638" s="2">
        <v>373</v>
      </c>
      <c r="P638">
        <v>3</v>
      </c>
      <c r="Q638" s="3">
        <v>0</v>
      </c>
      <c r="R638" s="2">
        <v>29.79</v>
      </c>
      <c r="S638" s="2">
        <v>23.98</v>
      </c>
      <c r="T638" t="s">
        <v>33</v>
      </c>
      <c r="U638">
        <v>2012</v>
      </c>
    </row>
    <row r="639" spans="1:21" x14ac:dyDescent="0.3">
      <c r="A639" t="s">
        <v>2705</v>
      </c>
      <c r="B639" s="1">
        <v>40780</v>
      </c>
      <c r="C639" s="1">
        <v>40785</v>
      </c>
      <c r="D639" t="s">
        <v>22</v>
      </c>
      <c r="E639" t="s">
        <v>497</v>
      </c>
      <c r="F639" t="s">
        <v>36</v>
      </c>
      <c r="G639" t="s">
        <v>2706</v>
      </c>
      <c r="H639" t="s">
        <v>48</v>
      </c>
      <c r="I639" t="s">
        <v>49</v>
      </c>
      <c r="J639" t="s">
        <v>40</v>
      </c>
      <c r="K639" t="s">
        <v>2707</v>
      </c>
      <c r="L639" t="s">
        <v>30</v>
      </c>
      <c r="M639" t="s">
        <v>31</v>
      </c>
      <c r="N639" t="s">
        <v>920</v>
      </c>
      <c r="O639" s="2">
        <v>31</v>
      </c>
      <c r="P639">
        <v>4</v>
      </c>
      <c r="Q639" s="3">
        <v>0</v>
      </c>
      <c r="R639" s="2">
        <v>12.84</v>
      </c>
      <c r="S639" s="2">
        <v>1.46</v>
      </c>
      <c r="T639" t="s">
        <v>33</v>
      </c>
      <c r="U639">
        <v>2011</v>
      </c>
    </row>
    <row r="640" spans="1:21" x14ac:dyDescent="0.3">
      <c r="A640" t="s">
        <v>2708</v>
      </c>
      <c r="B640" s="1">
        <v>41880</v>
      </c>
      <c r="C640" s="1">
        <v>41887</v>
      </c>
      <c r="D640" t="s">
        <v>22</v>
      </c>
      <c r="E640" t="s">
        <v>1782</v>
      </c>
      <c r="F640" t="s">
        <v>24</v>
      </c>
      <c r="G640" t="s">
        <v>2709</v>
      </c>
      <c r="H640" t="s">
        <v>152</v>
      </c>
      <c r="I640" t="s">
        <v>27</v>
      </c>
      <c r="J640" t="s">
        <v>153</v>
      </c>
      <c r="K640" t="s">
        <v>333</v>
      </c>
      <c r="L640" t="s">
        <v>30</v>
      </c>
      <c r="M640" t="s">
        <v>105</v>
      </c>
      <c r="N640" t="s">
        <v>334</v>
      </c>
      <c r="O640" s="2">
        <v>66</v>
      </c>
      <c r="P640">
        <v>5</v>
      </c>
      <c r="Q640" s="3">
        <v>0</v>
      </c>
      <c r="R640" s="2">
        <v>13.8</v>
      </c>
      <c r="S640" s="2">
        <v>6.14</v>
      </c>
      <c r="T640" t="s">
        <v>33</v>
      </c>
      <c r="U640">
        <v>2014</v>
      </c>
    </row>
    <row r="641" spans="1:21" x14ac:dyDescent="0.3">
      <c r="A641" t="s">
        <v>2710</v>
      </c>
      <c r="B641" s="1">
        <v>41869</v>
      </c>
      <c r="C641" s="1">
        <v>41873</v>
      </c>
      <c r="D641" t="s">
        <v>22</v>
      </c>
      <c r="E641" t="s">
        <v>552</v>
      </c>
      <c r="F641" t="s">
        <v>54</v>
      </c>
      <c r="G641" t="s">
        <v>849</v>
      </c>
      <c r="H641" t="s">
        <v>205</v>
      </c>
      <c r="I641" t="s">
        <v>49</v>
      </c>
      <c r="J641" t="s">
        <v>57</v>
      </c>
      <c r="K641" t="s">
        <v>585</v>
      </c>
      <c r="L641" t="s">
        <v>30</v>
      </c>
      <c r="M641" t="s">
        <v>90</v>
      </c>
      <c r="N641" t="s">
        <v>586</v>
      </c>
      <c r="O641" s="2">
        <v>244</v>
      </c>
      <c r="P641">
        <v>9</v>
      </c>
      <c r="Q641" s="3">
        <v>0</v>
      </c>
      <c r="R641" s="2">
        <v>121.77</v>
      </c>
      <c r="S641" s="2">
        <v>11.83</v>
      </c>
      <c r="T641" t="s">
        <v>33</v>
      </c>
      <c r="U641">
        <v>2014</v>
      </c>
    </row>
    <row r="642" spans="1:21" x14ac:dyDescent="0.3">
      <c r="A642" t="s">
        <v>2711</v>
      </c>
      <c r="B642" s="1">
        <v>41135</v>
      </c>
      <c r="C642" s="1">
        <v>41141</v>
      </c>
      <c r="D642" t="s">
        <v>22</v>
      </c>
      <c r="E642" t="s">
        <v>2712</v>
      </c>
      <c r="F642" t="s">
        <v>36</v>
      </c>
      <c r="G642" t="s">
        <v>2713</v>
      </c>
      <c r="H642" t="s">
        <v>205</v>
      </c>
      <c r="I642" t="s">
        <v>49</v>
      </c>
      <c r="J642" t="s">
        <v>57</v>
      </c>
      <c r="K642" t="s">
        <v>2714</v>
      </c>
      <c r="L642" t="s">
        <v>30</v>
      </c>
      <c r="M642" t="s">
        <v>75</v>
      </c>
      <c r="N642" t="s">
        <v>2715</v>
      </c>
      <c r="O642" s="2">
        <v>6</v>
      </c>
      <c r="P642">
        <v>1</v>
      </c>
      <c r="Q642" s="3">
        <v>0</v>
      </c>
      <c r="R642" s="2">
        <v>2.94</v>
      </c>
      <c r="S642" s="2">
        <v>0.52</v>
      </c>
      <c r="T642" t="s">
        <v>33</v>
      </c>
      <c r="U642">
        <v>2012</v>
      </c>
    </row>
    <row r="643" spans="1:21" x14ac:dyDescent="0.3">
      <c r="A643" t="s">
        <v>2716</v>
      </c>
      <c r="B643" s="1">
        <v>41737</v>
      </c>
      <c r="C643" s="1">
        <v>41742</v>
      </c>
      <c r="D643" t="s">
        <v>22</v>
      </c>
      <c r="E643" t="s">
        <v>444</v>
      </c>
      <c r="F643" t="s">
        <v>24</v>
      </c>
      <c r="G643" t="s">
        <v>2327</v>
      </c>
      <c r="H643" t="s">
        <v>103</v>
      </c>
      <c r="I643" t="s">
        <v>39</v>
      </c>
      <c r="J643" t="s">
        <v>57</v>
      </c>
      <c r="K643" t="s">
        <v>2717</v>
      </c>
      <c r="L643" t="s">
        <v>59</v>
      </c>
      <c r="M643" t="s">
        <v>139</v>
      </c>
      <c r="N643" t="s">
        <v>2718</v>
      </c>
      <c r="O643" s="2">
        <v>113</v>
      </c>
      <c r="P643">
        <v>6</v>
      </c>
      <c r="Q643" s="3">
        <v>0.4</v>
      </c>
      <c r="R643" s="2">
        <v>-50.856000000000002</v>
      </c>
      <c r="S643" s="2">
        <v>9.35</v>
      </c>
      <c r="T643" t="s">
        <v>33</v>
      </c>
      <c r="U643">
        <v>2014</v>
      </c>
    </row>
    <row r="644" spans="1:21" x14ac:dyDescent="0.3">
      <c r="A644" t="s">
        <v>2719</v>
      </c>
      <c r="B644" s="1">
        <v>40785</v>
      </c>
      <c r="C644" s="1">
        <v>40789</v>
      </c>
      <c r="D644" t="s">
        <v>45</v>
      </c>
      <c r="E644" t="s">
        <v>2720</v>
      </c>
      <c r="F644" t="s">
        <v>54</v>
      </c>
      <c r="G644" t="s">
        <v>1733</v>
      </c>
      <c r="H644" t="s">
        <v>408</v>
      </c>
      <c r="I644" t="s">
        <v>39</v>
      </c>
      <c r="J644" t="s">
        <v>40</v>
      </c>
      <c r="K644" t="s">
        <v>2721</v>
      </c>
      <c r="L644" t="s">
        <v>30</v>
      </c>
      <c r="M644" t="s">
        <v>75</v>
      </c>
      <c r="N644" t="s">
        <v>1747</v>
      </c>
      <c r="O644" s="2">
        <v>17</v>
      </c>
      <c r="P644">
        <v>6</v>
      </c>
      <c r="Q644" s="3">
        <v>0.4</v>
      </c>
      <c r="R644" s="2">
        <v>-3.504</v>
      </c>
      <c r="S644" s="2">
        <v>1.76</v>
      </c>
      <c r="T644" t="s">
        <v>33</v>
      </c>
      <c r="U644">
        <v>2011</v>
      </c>
    </row>
    <row r="645" spans="1:21" x14ac:dyDescent="0.3">
      <c r="A645" t="s">
        <v>2722</v>
      </c>
      <c r="B645" s="1">
        <v>40778</v>
      </c>
      <c r="C645" s="1">
        <v>40782</v>
      </c>
      <c r="D645" t="s">
        <v>22</v>
      </c>
      <c r="E645" t="s">
        <v>2723</v>
      </c>
      <c r="F645" t="s">
        <v>54</v>
      </c>
      <c r="G645" t="s">
        <v>780</v>
      </c>
      <c r="H645" t="s">
        <v>135</v>
      </c>
      <c r="I645" t="s">
        <v>136</v>
      </c>
      <c r="J645" t="s">
        <v>137</v>
      </c>
      <c r="K645" t="s">
        <v>2724</v>
      </c>
      <c r="L645" t="s">
        <v>59</v>
      </c>
      <c r="M645" t="s">
        <v>60</v>
      </c>
      <c r="N645" t="s">
        <v>2725</v>
      </c>
      <c r="O645" s="2">
        <v>4</v>
      </c>
      <c r="P645">
        <v>3</v>
      </c>
      <c r="Q645" s="3">
        <v>0.2</v>
      </c>
      <c r="R645" s="2">
        <v>1.2672000000000001</v>
      </c>
      <c r="S645" s="2">
        <v>0.33</v>
      </c>
      <c r="T645" t="s">
        <v>33</v>
      </c>
      <c r="U645">
        <v>2011</v>
      </c>
    </row>
    <row r="646" spans="1:21" x14ac:dyDescent="0.3">
      <c r="A646" t="s">
        <v>2726</v>
      </c>
      <c r="B646" s="1">
        <v>41865</v>
      </c>
      <c r="C646" s="1">
        <v>41869</v>
      </c>
      <c r="D646" t="s">
        <v>45</v>
      </c>
      <c r="E646" t="s">
        <v>2727</v>
      </c>
      <c r="F646" t="s">
        <v>24</v>
      </c>
      <c r="G646" t="s">
        <v>25</v>
      </c>
      <c r="H646" t="s">
        <v>26</v>
      </c>
      <c r="I646" t="s">
        <v>27</v>
      </c>
      <c r="J646" t="s">
        <v>28</v>
      </c>
      <c r="K646" t="s">
        <v>2728</v>
      </c>
      <c r="L646" t="s">
        <v>59</v>
      </c>
      <c r="M646" t="s">
        <v>139</v>
      </c>
      <c r="N646" t="s">
        <v>681</v>
      </c>
      <c r="O646" s="2">
        <v>125</v>
      </c>
      <c r="P646">
        <v>4</v>
      </c>
      <c r="Q646" s="3">
        <v>0.27</v>
      </c>
      <c r="R646" s="2">
        <v>-44.457599999999999</v>
      </c>
      <c r="S646" s="2">
        <v>18.29</v>
      </c>
      <c r="T646" t="s">
        <v>99</v>
      </c>
      <c r="U646">
        <v>2014</v>
      </c>
    </row>
    <row r="647" spans="1:21" x14ac:dyDescent="0.3">
      <c r="A647" t="s">
        <v>2729</v>
      </c>
      <c r="B647" s="1">
        <v>41502</v>
      </c>
      <c r="C647" s="1">
        <v>41509</v>
      </c>
      <c r="D647" t="s">
        <v>22</v>
      </c>
      <c r="E647" t="s">
        <v>2352</v>
      </c>
      <c r="F647" t="s">
        <v>24</v>
      </c>
      <c r="G647" t="s">
        <v>127</v>
      </c>
      <c r="H647" t="s">
        <v>128</v>
      </c>
      <c r="I647" t="s">
        <v>49</v>
      </c>
      <c r="J647" t="s">
        <v>129</v>
      </c>
      <c r="K647" t="s">
        <v>2730</v>
      </c>
      <c r="L647" t="s">
        <v>59</v>
      </c>
      <c r="M647" t="s">
        <v>339</v>
      </c>
      <c r="N647" t="s">
        <v>2731</v>
      </c>
      <c r="O647" s="2">
        <v>797</v>
      </c>
      <c r="P647">
        <v>4</v>
      </c>
      <c r="Q647" s="3">
        <v>0</v>
      </c>
      <c r="R647" s="2">
        <v>95.64</v>
      </c>
      <c r="S647" s="2">
        <v>68.05</v>
      </c>
      <c r="T647" t="s">
        <v>77</v>
      </c>
      <c r="U647">
        <v>2013</v>
      </c>
    </row>
    <row r="648" spans="1:21" x14ac:dyDescent="0.3">
      <c r="A648" t="s">
        <v>2732</v>
      </c>
      <c r="B648" s="1">
        <v>41872</v>
      </c>
      <c r="C648" s="1">
        <v>41872</v>
      </c>
      <c r="D648" t="s">
        <v>232</v>
      </c>
      <c r="E648" t="s">
        <v>2733</v>
      </c>
      <c r="F648" t="s">
        <v>24</v>
      </c>
      <c r="G648" t="s">
        <v>2734</v>
      </c>
      <c r="H648" t="s">
        <v>524</v>
      </c>
      <c r="I648" t="s">
        <v>39</v>
      </c>
      <c r="J648" t="s">
        <v>40</v>
      </c>
      <c r="K648" t="s">
        <v>2735</v>
      </c>
      <c r="L648" t="s">
        <v>59</v>
      </c>
      <c r="M648" t="s">
        <v>339</v>
      </c>
      <c r="N648" t="s">
        <v>2736</v>
      </c>
      <c r="O648" s="2">
        <v>1312</v>
      </c>
      <c r="P648">
        <v>9</v>
      </c>
      <c r="Q648" s="3">
        <v>0.4</v>
      </c>
      <c r="R648" s="2">
        <v>-306.108</v>
      </c>
      <c r="S648" s="2">
        <v>76.650000000000006</v>
      </c>
      <c r="T648" t="s">
        <v>33</v>
      </c>
      <c r="U648">
        <v>2014</v>
      </c>
    </row>
    <row r="649" spans="1:21" x14ac:dyDescent="0.3">
      <c r="A649" t="s">
        <v>2737</v>
      </c>
      <c r="B649" s="1">
        <v>41499</v>
      </c>
      <c r="C649" s="1">
        <v>41504</v>
      </c>
      <c r="D649" t="s">
        <v>22</v>
      </c>
      <c r="E649" t="s">
        <v>1858</v>
      </c>
      <c r="F649" t="s">
        <v>54</v>
      </c>
      <c r="G649" t="s">
        <v>2738</v>
      </c>
      <c r="H649" t="s">
        <v>242</v>
      </c>
      <c r="I649" t="s">
        <v>27</v>
      </c>
      <c r="J649" t="s">
        <v>153</v>
      </c>
      <c r="K649" t="s">
        <v>2582</v>
      </c>
      <c r="L649" t="s">
        <v>30</v>
      </c>
      <c r="M649" t="s">
        <v>410</v>
      </c>
      <c r="N649" t="s">
        <v>2583</v>
      </c>
      <c r="O649" s="2">
        <v>173</v>
      </c>
      <c r="P649">
        <v>5</v>
      </c>
      <c r="Q649" s="3">
        <v>0</v>
      </c>
      <c r="R649" s="2">
        <v>45</v>
      </c>
      <c r="S649" s="2">
        <v>19.989999999999998</v>
      </c>
      <c r="T649" t="s">
        <v>33</v>
      </c>
      <c r="U649">
        <v>2013</v>
      </c>
    </row>
    <row r="650" spans="1:21" x14ac:dyDescent="0.3">
      <c r="A650" t="s">
        <v>2739</v>
      </c>
      <c r="B650" s="1">
        <v>41341</v>
      </c>
      <c r="C650" s="1">
        <v>41343</v>
      </c>
      <c r="D650" t="s">
        <v>45</v>
      </c>
      <c r="E650" t="s">
        <v>2740</v>
      </c>
      <c r="F650" t="s">
        <v>54</v>
      </c>
      <c r="G650" t="s">
        <v>722</v>
      </c>
      <c r="H650" t="s">
        <v>723</v>
      </c>
      <c r="I650" t="s">
        <v>27</v>
      </c>
      <c r="J650" t="s">
        <v>28</v>
      </c>
      <c r="K650" t="s">
        <v>2741</v>
      </c>
      <c r="L650" t="s">
        <v>146</v>
      </c>
      <c r="M650" t="s">
        <v>347</v>
      </c>
      <c r="N650" t="s">
        <v>2742</v>
      </c>
      <c r="O650" s="2">
        <v>414</v>
      </c>
      <c r="P650">
        <v>2</v>
      </c>
      <c r="Q650" s="3">
        <v>0.35</v>
      </c>
      <c r="R650" s="2">
        <v>-31.878</v>
      </c>
      <c r="S650" s="2">
        <v>44.22</v>
      </c>
      <c r="T650" t="s">
        <v>99</v>
      </c>
      <c r="U650">
        <v>2013</v>
      </c>
    </row>
    <row r="651" spans="1:21" x14ac:dyDescent="0.3">
      <c r="A651" t="s">
        <v>2743</v>
      </c>
      <c r="B651" s="1">
        <v>41866</v>
      </c>
      <c r="C651" s="1">
        <v>41871</v>
      </c>
      <c r="D651" t="s">
        <v>22</v>
      </c>
      <c r="E651" t="s">
        <v>1242</v>
      </c>
      <c r="F651" t="s">
        <v>36</v>
      </c>
      <c r="G651" t="s">
        <v>2744</v>
      </c>
      <c r="H651" t="s">
        <v>402</v>
      </c>
      <c r="I651" t="s">
        <v>39</v>
      </c>
      <c r="J651" t="s">
        <v>236</v>
      </c>
      <c r="K651" t="s">
        <v>2745</v>
      </c>
      <c r="L651" t="s">
        <v>30</v>
      </c>
      <c r="M651" t="s">
        <v>370</v>
      </c>
      <c r="N651" t="s">
        <v>2746</v>
      </c>
      <c r="O651" s="2">
        <v>50</v>
      </c>
      <c r="P651">
        <v>2</v>
      </c>
      <c r="Q651" s="3">
        <v>0</v>
      </c>
      <c r="R651" s="2">
        <v>23.04</v>
      </c>
      <c r="S651" s="2">
        <v>5.29</v>
      </c>
      <c r="T651" t="s">
        <v>33</v>
      </c>
      <c r="U651">
        <v>2014</v>
      </c>
    </row>
    <row r="652" spans="1:21" x14ac:dyDescent="0.3">
      <c r="A652" t="s">
        <v>2747</v>
      </c>
      <c r="B652" s="1">
        <v>41767</v>
      </c>
      <c r="C652" s="1">
        <v>41773</v>
      </c>
      <c r="D652" t="s">
        <v>22</v>
      </c>
      <c r="E652" t="s">
        <v>2748</v>
      </c>
      <c r="F652" t="s">
        <v>54</v>
      </c>
      <c r="G652" t="s">
        <v>880</v>
      </c>
      <c r="H652" t="s">
        <v>211</v>
      </c>
      <c r="I652" t="s">
        <v>27</v>
      </c>
      <c r="J652" t="s">
        <v>212</v>
      </c>
      <c r="K652" t="s">
        <v>2749</v>
      </c>
      <c r="L652" t="s">
        <v>30</v>
      </c>
      <c r="M652" t="s">
        <v>42</v>
      </c>
      <c r="N652" t="s">
        <v>2750</v>
      </c>
      <c r="O652" s="2">
        <v>323</v>
      </c>
      <c r="P652">
        <v>1</v>
      </c>
      <c r="Q652" s="3">
        <v>0.4</v>
      </c>
      <c r="R652" s="2">
        <v>-6.0000000000000001E-3</v>
      </c>
      <c r="S652" s="2">
        <v>20.13</v>
      </c>
      <c r="T652" t="s">
        <v>77</v>
      </c>
      <c r="U652">
        <v>2014</v>
      </c>
    </row>
    <row r="653" spans="1:21" x14ac:dyDescent="0.3">
      <c r="A653" t="s">
        <v>2751</v>
      </c>
      <c r="B653" s="1">
        <v>41150</v>
      </c>
      <c r="C653" s="1">
        <v>41152</v>
      </c>
      <c r="D653" t="s">
        <v>84</v>
      </c>
      <c r="E653" t="s">
        <v>2752</v>
      </c>
      <c r="F653" t="s">
        <v>54</v>
      </c>
      <c r="G653" t="s">
        <v>2753</v>
      </c>
      <c r="H653" t="s">
        <v>87</v>
      </c>
      <c r="I653" t="s">
        <v>88</v>
      </c>
      <c r="J653" t="s">
        <v>88</v>
      </c>
      <c r="K653" t="s">
        <v>2754</v>
      </c>
      <c r="L653" t="s">
        <v>30</v>
      </c>
      <c r="M653" t="s">
        <v>410</v>
      </c>
      <c r="N653" t="s">
        <v>2755</v>
      </c>
      <c r="O653" s="2">
        <v>38</v>
      </c>
      <c r="P653">
        <v>4</v>
      </c>
      <c r="Q653" s="3">
        <v>0.6</v>
      </c>
      <c r="R653" s="2">
        <v>-31.751999999999999</v>
      </c>
      <c r="S653" s="2">
        <v>2</v>
      </c>
      <c r="T653" t="s">
        <v>99</v>
      </c>
      <c r="U653">
        <v>2012</v>
      </c>
    </row>
    <row r="654" spans="1:21" x14ac:dyDescent="0.3">
      <c r="A654" t="s">
        <v>2756</v>
      </c>
      <c r="B654" s="1">
        <v>41500</v>
      </c>
      <c r="C654" s="1">
        <v>41504</v>
      </c>
      <c r="D654" t="s">
        <v>45</v>
      </c>
      <c r="E654" t="s">
        <v>1866</v>
      </c>
      <c r="F654" t="s">
        <v>54</v>
      </c>
      <c r="G654" t="s">
        <v>257</v>
      </c>
      <c r="H654" t="s">
        <v>135</v>
      </c>
      <c r="I654" t="s">
        <v>136</v>
      </c>
      <c r="J654" t="s">
        <v>40</v>
      </c>
      <c r="K654" t="s">
        <v>2757</v>
      </c>
      <c r="L654" t="s">
        <v>30</v>
      </c>
      <c r="M654" t="s">
        <v>105</v>
      </c>
      <c r="N654" t="s">
        <v>646</v>
      </c>
      <c r="O654" s="2">
        <v>10</v>
      </c>
      <c r="P654">
        <v>3</v>
      </c>
      <c r="Q654" s="3">
        <v>0.2</v>
      </c>
      <c r="R654" s="2">
        <v>3.21</v>
      </c>
      <c r="S654" s="2">
        <v>1.45</v>
      </c>
      <c r="T654" t="s">
        <v>33</v>
      </c>
      <c r="U654">
        <v>2013</v>
      </c>
    </row>
    <row r="655" spans="1:21" x14ac:dyDescent="0.3">
      <c r="A655" t="s">
        <v>2758</v>
      </c>
      <c r="B655" s="1">
        <v>41149</v>
      </c>
      <c r="C655" s="1">
        <v>41154</v>
      </c>
      <c r="D655" t="s">
        <v>22</v>
      </c>
      <c r="E655" t="s">
        <v>157</v>
      </c>
      <c r="F655" t="s">
        <v>24</v>
      </c>
      <c r="G655" t="s">
        <v>1205</v>
      </c>
      <c r="H655" t="s">
        <v>135</v>
      </c>
      <c r="I655" t="s">
        <v>136</v>
      </c>
      <c r="J655" t="s">
        <v>396</v>
      </c>
      <c r="K655" t="s">
        <v>2759</v>
      </c>
      <c r="L655" t="s">
        <v>30</v>
      </c>
      <c r="M655" t="s">
        <v>66</v>
      </c>
      <c r="N655" t="s">
        <v>2760</v>
      </c>
      <c r="O655" s="2">
        <v>470</v>
      </c>
      <c r="P655">
        <v>11</v>
      </c>
      <c r="Q655" s="3">
        <v>0</v>
      </c>
      <c r="R655" s="2">
        <v>122.2936</v>
      </c>
      <c r="S655" s="2">
        <v>30.72</v>
      </c>
      <c r="T655" t="s">
        <v>33</v>
      </c>
      <c r="U655">
        <v>2012</v>
      </c>
    </row>
    <row r="656" spans="1:21" x14ac:dyDescent="0.3">
      <c r="A656" t="s">
        <v>2761</v>
      </c>
      <c r="B656" s="1">
        <v>41859</v>
      </c>
      <c r="C656" s="1">
        <v>41863</v>
      </c>
      <c r="D656" t="s">
        <v>22</v>
      </c>
      <c r="E656" t="s">
        <v>606</v>
      </c>
      <c r="F656" t="s">
        <v>54</v>
      </c>
      <c r="G656" t="s">
        <v>607</v>
      </c>
      <c r="H656" t="s">
        <v>235</v>
      </c>
      <c r="I656" t="s">
        <v>39</v>
      </c>
      <c r="J656" t="s">
        <v>236</v>
      </c>
      <c r="K656" t="s">
        <v>2762</v>
      </c>
      <c r="L656" t="s">
        <v>30</v>
      </c>
      <c r="M656" t="s">
        <v>75</v>
      </c>
      <c r="N656" t="s">
        <v>2763</v>
      </c>
      <c r="O656" s="2">
        <v>13</v>
      </c>
      <c r="P656">
        <v>2</v>
      </c>
      <c r="Q656" s="3">
        <v>0.2</v>
      </c>
      <c r="R656" s="2">
        <v>4.4000000000000004</v>
      </c>
      <c r="S656" s="2">
        <v>0.95</v>
      </c>
      <c r="T656" t="s">
        <v>33</v>
      </c>
      <c r="U656">
        <v>2014</v>
      </c>
    </row>
    <row r="657" spans="1:21" x14ac:dyDescent="0.3">
      <c r="A657" t="s">
        <v>2764</v>
      </c>
      <c r="B657" s="1">
        <v>40786</v>
      </c>
      <c r="C657" s="1">
        <v>40791</v>
      </c>
      <c r="D657" t="s">
        <v>22</v>
      </c>
      <c r="E657" t="s">
        <v>666</v>
      </c>
      <c r="F657" t="s">
        <v>54</v>
      </c>
      <c r="G657" t="s">
        <v>2765</v>
      </c>
      <c r="H657" t="s">
        <v>637</v>
      </c>
      <c r="I657" t="s">
        <v>88</v>
      </c>
      <c r="J657" t="s">
        <v>88</v>
      </c>
      <c r="K657" t="s">
        <v>2766</v>
      </c>
      <c r="L657" t="s">
        <v>30</v>
      </c>
      <c r="M657" t="s">
        <v>90</v>
      </c>
      <c r="N657" t="s">
        <v>2767</v>
      </c>
      <c r="O657" s="2">
        <v>183</v>
      </c>
      <c r="P657">
        <v>4</v>
      </c>
      <c r="Q657" s="3">
        <v>0</v>
      </c>
      <c r="R657" s="2">
        <v>84.12</v>
      </c>
      <c r="S657" s="2">
        <v>6.57</v>
      </c>
      <c r="T657" t="s">
        <v>33</v>
      </c>
      <c r="U657">
        <v>2011</v>
      </c>
    </row>
    <row r="658" spans="1:21" x14ac:dyDescent="0.3">
      <c r="A658" t="s">
        <v>2768</v>
      </c>
      <c r="B658" s="1">
        <v>40610</v>
      </c>
      <c r="C658" s="1">
        <v>40614</v>
      </c>
      <c r="D658" t="s">
        <v>22</v>
      </c>
      <c r="E658" t="s">
        <v>2769</v>
      </c>
      <c r="F658" t="s">
        <v>24</v>
      </c>
      <c r="G658" t="s">
        <v>722</v>
      </c>
      <c r="H658" t="s">
        <v>723</v>
      </c>
      <c r="I658" t="s">
        <v>27</v>
      </c>
      <c r="J658" t="s">
        <v>28</v>
      </c>
      <c r="K658" t="s">
        <v>2770</v>
      </c>
      <c r="L658" t="s">
        <v>146</v>
      </c>
      <c r="M658" t="s">
        <v>147</v>
      </c>
      <c r="N658" t="s">
        <v>2771</v>
      </c>
      <c r="O658" s="2">
        <v>543</v>
      </c>
      <c r="P658">
        <v>9</v>
      </c>
      <c r="Q658" s="3">
        <v>0.25</v>
      </c>
      <c r="R658" s="2">
        <v>-7.4249999999999998</v>
      </c>
      <c r="S658" s="2">
        <v>40.479999999999997</v>
      </c>
      <c r="T658" t="s">
        <v>33</v>
      </c>
      <c r="U658">
        <v>2011</v>
      </c>
    </row>
    <row r="659" spans="1:21" x14ac:dyDescent="0.3">
      <c r="A659" t="s">
        <v>2772</v>
      </c>
      <c r="B659" s="1">
        <v>41869</v>
      </c>
      <c r="C659" s="1">
        <v>41875</v>
      </c>
      <c r="D659" t="s">
        <v>22</v>
      </c>
      <c r="E659" t="s">
        <v>2369</v>
      </c>
      <c r="F659" t="s">
        <v>54</v>
      </c>
      <c r="G659" t="s">
        <v>2773</v>
      </c>
      <c r="H659" t="s">
        <v>2774</v>
      </c>
      <c r="I659" t="s">
        <v>49</v>
      </c>
      <c r="J659" t="s">
        <v>129</v>
      </c>
      <c r="K659" t="s">
        <v>2775</v>
      </c>
      <c r="L659" t="s">
        <v>146</v>
      </c>
      <c r="M659" t="s">
        <v>271</v>
      </c>
      <c r="N659" t="s">
        <v>2776</v>
      </c>
      <c r="O659" s="2">
        <v>84</v>
      </c>
      <c r="P659">
        <v>2</v>
      </c>
      <c r="Q659" s="3">
        <v>0.5</v>
      </c>
      <c r="R659" s="2">
        <v>-41.94</v>
      </c>
      <c r="S659" s="2">
        <v>3.39</v>
      </c>
      <c r="T659" t="s">
        <v>33</v>
      </c>
      <c r="U659">
        <v>2014</v>
      </c>
    </row>
    <row r="660" spans="1:21" x14ac:dyDescent="0.3">
      <c r="A660" t="s">
        <v>2777</v>
      </c>
      <c r="B660" s="1">
        <v>41865</v>
      </c>
      <c r="C660" s="1">
        <v>41865</v>
      </c>
      <c r="D660" t="s">
        <v>232</v>
      </c>
      <c r="E660" t="s">
        <v>842</v>
      </c>
      <c r="F660" t="s">
        <v>54</v>
      </c>
      <c r="G660" t="s">
        <v>134</v>
      </c>
      <c r="H660" t="s">
        <v>135</v>
      </c>
      <c r="I660" t="s">
        <v>136</v>
      </c>
      <c r="J660" t="s">
        <v>137</v>
      </c>
      <c r="K660" t="s">
        <v>2778</v>
      </c>
      <c r="L660" t="s">
        <v>30</v>
      </c>
      <c r="M660" t="s">
        <v>42</v>
      </c>
      <c r="N660" t="s">
        <v>646</v>
      </c>
      <c r="O660" s="2">
        <v>84</v>
      </c>
      <c r="P660">
        <v>7</v>
      </c>
      <c r="Q660" s="3">
        <v>0</v>
      </c>
      <c r="R660" s="2">
        <v>22.6233</v>
      </c>
      <c r="S660" s="2">
        <v>7.79</v>
      </c>
      <c r="T660" t="s">
        <v>99</v>
      </c>
      <c r="U660">
        <v>2014</v>
      </c>
    </row>
    <row r="661" spans="1:21" x14ac:dyDescent="0.3">
      <c r="A661" t="s">
        <v>2779</v>
      </c>
      <c r="B661" s="1">
        <v>40778</v>
      </c>
      <c r="C661" s="1">
        <v>40783</v>
      </c>
      <c r="D661" t="s">
        <v>22</v>
      </c>
      <c r="E661" t="s">
        <v>1686</v>
      </c>
      <c r="F661" t="s">
        <v>24</v>
      </c>
      <c r="G661" t="s">
        <v>1967</v>
      </c>
      <c r="H661" t="s">
        <v>316</v>
      </c>
      <c r="I661" t="s">
        <v>27</v>
      </c>
      <c r="J661" t="s">
        <v>212</v>
      </c>
      <c r="K661" t="s">
        <v>2780</v>
      </c>
      <c r="L661" t="s">
        <v>30</v>
      </c>
      <c r="M661" t="s">
        <v>370</v>
      </c>
      <c r="N661" t="s">
        <v>2781</v>
      </c>
      <c r="O661" s="2">
        <v>63</v>
      </c>
      <c r="P661">
        <v>2</v>
      </c>
      <c r="Q661" s="3">
        <v>0.1</v>
      </c>
      <c r="R661" s="2">
        <v>4.1820000000000004</v>
      </c>
      <c r="S661" s="2">
        <v>3.81</v>
      </c>
      <c r="T661" t="s">
        <v>33</v>
      </c>
      <c r="U661">
        <v>2011</v>
      </c>
    </row>
    <row r="662" spans="1:21" x14ac:dyDescent="0.3">
      <c r="A662" t="s">
        <v>2782</v>
      </c>
      <c r="B662" s="1">
        <v>40794</v>
      </c>
      <c r="C662" s="1">
        <v>40797</v>
      </c>
      <c r="D662" t="s">
        <v>84</v>
      </c>
      <c r="E662" t="s">
        <v>1707</v>
      </c>
      <c r="F662" t="s">
        <v>24</v>
      </c>
      <c r="G662" t="s">
        <v>1804</v>
      </c>
      <c r="H662" t="s">
        <v>135</v>
      </c>
      <c r="I662" t="s">
        <v>136</v>
      </c>
      <c r="J662" t="s">
        <v>40</v>
      </c>
      <c r="K662" t="s">
        <v>2783</v>
      </c>
      <c r="L662" t="s">
        <v>146</v>
      </c>
      <c r="M662" t="s">
        <v>271</v>
      </c>
      <c r="N662" t="s">
        <v>2784</v>
      </c>
      <c r="O662" s="2">
        <v>84</v>
      </c>
      <c r="P662">
        <v>4</v>
      </c>
      <c r="Q662" s="3">
        <v>0</v>
      </c>
      <c r="R662" s="2">
        <v>30.1968</v>
      </c>
      <c r="S662" s="2">
        <v>13.48</v>
      </c>
      <c r="T662" t="s">
        <v>33</v>
      </c>
      <c r="U662">
        <v>2011</v>
      </c>
    </row>
    <row r="663" spans="1:21" x14ac:dyDescent="0.3">
      <c r="A663" t="s">
        <v>2785</v>
      </c>
      <c r="B663" s="1">
        <v>41514</v>
      </c>
      <c r="C663" s="1">
        <v>41520</v>
      </c>
      <c r="D663" t="s">
        <v>22</v>
      </c>
      <c r="E663" t="s">
        <v>2786</v>
      </c>
      <c r="F663" t="s">
        <v>36</v>
      </c>
      <c r="G663" t="s">
        <v>2683</v>
      </c>
      <c r="H663" t="s">
        <v>56</v>
      </c>
      <c r="I663" t="s">
        <v>49</v>
      </c>
      <c r="J663" t="s">
        <v>57</v>
      </c>
      <c r="K663" t="s">
        <v>2787</v>
      </c>
      <c r="L663" t="s">
        <v>30</v>
      </c>
      <c r="M663" t="s">
        <v>90</v>
      </c>
      <c r="N663" t="s">
        <v>318</v>
      </c>
      <c r="O663" s="2">
        <v>33</v>
      </c>
      <c r="P663">
        <v>2</v>
      </c>
      <c r="Q663" s="3">
        <v>0</v>
      </c>
      <c r="R663" s="2">
        <v>4.92</v>
      </c>
      <c r="S663" s="2">
        <v>1.95</v>
      </c>
      <c r="T663" t="s">
        <v>33</v>
      </c>
      <c r="U663">
        <v>2013</v>
      </c>
    </row>
    <row r="664" spans="1:21" x14ac:dyDescent="0.3">
      <c r="A664" t="s">
        <v>2788</v>
      </c>
      <c r="B664" s="1">
        <v>41150</v>
      </c>
      <c r="C664" s="1">
        <v>41155</v>
      </c>
      <c r="D664" t="s">
        <v>22</v>
      </c>
      <c r="E664" t="s">
        <v>606</v>
      </c>
      <c r="F664" t="s">
        <v>54</v>
      </c>
      <c r="G664" t="s">
        <v>275</v>
      </c>
      <c r="H664" t="s">
        <v>48</v>
      </c>
      <c r="I664" t="s">
        <v>49</v>
      </c>
      <c r="J664" t="s">
        <v>40</v>
      </c>
      <c r="K664" t="s">
        <v>2789</v>
      </c>
      <c r="L664" t="s">
        <v>30</v>
      </c>
      <c r="M664" t="s">
        <v>75</v>
      </c>
      <c r="N664" t="s">
        <v>2790</v>
      </c>
      <c r="O664" s="2">
        <v>14</v>
      </c>
      <c r="P664">
        <v>2</v>
      </c>
      <c r="Q664" s="3">
        <v>0</v>
      </c>
      <c r="R664" s="2">
        <v>5.04</v>
      </c>
      <c r="S664" s="2">
        <v>0.74</v>
      </c>
      <c r="T664" t="s">
        <v>33</v>
      </c>
      <c r="U664">
        <v>2012</v>
      </c>
    </row>
    <row r="665" spans="1:21" x14ac:dyDescent="0.3">
      <c r="A665" t="s">
        <v>2791</v>
      </c>
      <c r="B665" s="1">
        <v>41869</v>
      </c>
      <c r="C665" s="1">
        <v>41874</v>
      </c>
      <c r="D665" t="s">
        <v>22</v>
      </c>
      <c r="E665" t="s">
        <v>2632</v>
      </c>
      <c r="F665" t="s">
        <v>24</v>
      </c>
      <c r="G665" t="s">
        <v>2792</v>
      </c>
      <c r="H665" t="s">
        <v>564</v>
      </c>
      <c r="I665" t="s">
        <v>49</v>
      </c>
      <c r="J665" t="s">
        <v>57</v>
      </c>
      <c r="K665" t="s">
        <v>2793</v>
      </c>
      <c r="L665" t="s">
        <v>30</v>
      </c>
      <c r="M665" t="s">
        <v>31</v>
      </c>
      <c r="N665" t="s">
        <v>2794</v>
      </c>
      <c r="O665" s="2">
        <v>27</v>
      </c>
      <c r="P665">
        <v>4</v>
      </c>
      <c r="Q665" s="3">
        <v>0.5</v>
      </c>
      <c r="R665" s="2">
        <v>-6.48</v>
      </c>
      <c r="S665" s="2">
        <v>1.97</v>
      </c>
      <c r="T665" t="s">
        <v>33</v>
      </c>
      <c r="U665">
        <v>2014</v>
      </c>
    </row>
    <row r="666" spans="1:21" x14ac:dyDescent="0.3">
      <c r="A666" t="s">
        <v>2795</v>
      </c>
      <c r="B666" s="1">
        <v>41879</v>
      </c>
      <c r="C666" s="1">
        <v>41883</v>
      </c>
      <c r="D666" t="s">
        <v>22</v>
      </c>
      <c r="E666" t="s">
        <v>2796</v>
      </c>
      <c r="F666" t="s">
        <v>24</v>
      </c>
      <c r="G666" t="s">
        <v>401</v>
      </c>
      <c r="H666" t="s">
        <v>402</v>
      </c>
      <c r="I666" t="s">
        <v>39</v>
      </c>
      <c r="J666" t="s">
        <v>236</v>
      </c>
      <c r="K666" t="s">
        <v>2797</v>
      </c>
      <c r="L666" t="s">
        <v>30</v>
      </c>
      <c r="M666" t="s">
        <v>105</v>
      </c>
      <c r="N666" t="s">
        <v>668</v>
      </c>
      <c r="O666" s="2">
        <v>123</v>
      </c>
      <c r="P666">
        <v>7</v>
      </c>
      <c r="Q666" s="3">
        <v>0</v>
      </c>
      <c r="R666" s="2">
        <v>50.4</v>
      </c>
      <c r="S666" s="2">
        <v>20.02</v>
      </c>
      <c r="T666" t="s">
        <v>99</v>
      </c>
      <c r="U666">
        <v>2014</v>
      </c>
    </row>
    <row r="667" spans="1:21" x14ac:dyDescent="0.3">
      <c r="A667" t="s">
        <v>2798</v>
      </c>
      <c r="B667" s="1">
        <v>41149</v>
      </c>
      <c r="C667" s="1">
        <v>41156</v>
      </c>
      <c r="D667" t="s">
        <v>22</v>
      </c>
      <c r="E667" t="s">
        <v>2799</v>
      </c>
      <c r="F667" t="s">
        <v>54</v>
      </c>
      <c r="G667" t="s">
        <v>134</v>
      </c>
      <c r="H667" t="s">
        <v>135</v>
      </c>
      <c r="I667" t="s">
        <v>136</v>
      </c>
      <c r="J667" t="s">
        <v>137</v>
      </c>
      <c r="K667" t="s">
        <v>2800</v>
      </c>
      <c r="L667" t="s">
        <v>30</v>
      </c>
      <c r="M667" t="s">
        <v>66</v>
      </c>
      <c r="N667" t="s">
        <v>2801</v>
      </c>
      <c r="O667" s="2">
        <v>729</v>
      </c>
      <c r="P667">
        <v>9</v>
      </c>
      <c r="Q667" s="3">
        <v>0</v>
      </c>
      <c r="R667" s="2">
        <v>29.152799999999999</v>
      </c>
      <c r="S667" s="2">
        <v>48.16</v>
      </c>
      <c r="T667" t="s">
        <v>33</v>
      </c>
      <c r="U667">
        <v>2012</v>
      </c>
    </row>
    <row r="668" spans="1:21" x14ac:dyDescent="0.3">
      <c r="A668" t="s">
        <v>2802</v>
      </c>
      <c r="B668" s="1">
        <v>41877</v>
      </c>
      <c r="C668" s="1">
        <v>41880</v>
      </c>
      <c r="D668" t="s">
        <v>84</v>
      </c>
      <c r="E668" t="s">
        <v>2585</v>
      </c>
      <c r="F668" t="s">
        <v>24</v>
      </c>
      <c r="G668" t="s">
        <v>64</v>
      </c>
      <c r="H668" t="s">
        <v>56</v>
      </c>
      <c r="I668" t="s">
        <v>49</v>
      </c>
      <c r="J668" t="s">
        <v>57</v>
      </c>
      <c r="K668" t="s">
        <v>2803</v>
      </c>
      <c r="L668" t="s">
        <v>59</v>
      </c>
      <c r="M668" t="s">
        <v>139</v>
      </c>
      <c r="N668" t="s">
        <v>2804</v>
      </c>
      <c r="O668" s="2">
        <v>162</v>
      </c>
      <c r="P668">
        <v>3</v>
      </c>
      <c r="Q668" s="3">
        <v>0.1</v>
      </c>
      <c r="R668" s="2">
        <v>19.673999999999999</v>
      </c>
      <c r="S668" s="2">
        <v>12.45</v>
      </c>
      <c r="T668" t="s">
        <v>33</v>
      </c>
      <c r="U668">
        <v>2014</v>
      </c>
    </row>
    <row r="669" spans="1:21" x14ac:dyDescent="0.3">
      <c r="A669" t="s">
        <v>2805</v>
      </c>
      <c r="B669" s="1">
        <v>41068</v>
      </c>
      <c r="C669" s="1">
        <v>41070</v>
      </c>
      <c r="D669" t="s">
        <v>45</v>
      </c>
      <c r="E669" t="s">
        <v>1442</v>
      </c>
      <c r="F669" t="s">
        <v>54</v>
      </c>
      <c r="G669" t="s">
        <v>2806</v>
      </c>
      <c r="H669" t="s">
        <v>2807</v>
      </c>
      <c r="I669" t="s">
        <v>27</v>
      </c>
      <c r="J669" t="s">
        <v>153</v>
      </c>
      <c r="K669" t="s">
        <v>2808</v>
      </c>
      <c r="L669" t="s">
        <v>30</v>
      </c>
      <c r="M669" t="s">
        <v>90</v>
      </c>
      <c r="N669" t="s">
        <v>2809</v>
      </c>
      <c r="O669" s="2">
        <v>114</v>
      </c>
      <c r="P669">
        <v>5</v>
      </c>
      <c r="Q669" s="3">
        <v>0.5</v>
      </c>
      <c r="R669" s="2">
        <v>-20.625</v>
      </c>
      <c r="S669" s="2">
        <v>8.94</v>
      </c>
      <c r="T669" t="s">
        <v>99</v>
      </c>
      <c r="U669">
        <v>2012</v>
      </c>
    </row>
    <row r="670" spans="1:21" x14ac:dyDescent="0.3">
      <c r="A670" t="s">
        <v>2810</v>
      </c>
      <c r="B670" s="1">
        <v>41542</v>
      </c>
      <c r="C670" s="1">
        <v>41547</v>
      </c>
      <c r="D670" t="s">
        <v>22</v>
      </c>
      <c r="E670" t="s">
        <v>2811</v>
      </c>
      <c r="F670" t="s">
        <v>54</v>
      </c>
      <c r="G670" t="s">
        <v>1270</v>
      </c>
      <c r="H670" t="s">
        <v>1147</v>
      </c>
      <c r="I670" t="s">
        <v>39</v>
      </c>
      <c r="J670" t="s">
        <v>129</v>
      </c>
      <c r="K670" t="s">
        <v>2812</v>
      </c>
      <c r="L670" t="s">
        <v>59</v>
      </c>
      <c r="M670" t="s">
        <v>339</v>
      </c>
      <c r="N670" t="s">
        <v>2813</v>
      </c>
      <c r="O670" s="2">
        <v>323</v>
      </c>
      <c r="P670">
        <v>5</v>
      </c>
      <c r="Q670" s="3">
        <v>0.2</v>
      </c>
      <c r="R670" s="2">
        <v>16.100000000000001</v>
      </c>
      <c r="S670" s="2">
        <v>12.45</v>
      </c>
      <c r="T670" t="s">
        <v>33</v>
      </c>
      <c r="U670">
        <v>2013</v>
      </c>
    </row>
    <row r="671" spans="1:21" x14ac:dyDescent="0.3">
      <c r="A671" t="s">
        <v>2814</v>
      </c>
      <c r="B671" s="1">
        <v>41166</v>
      </c>
      <c r="C671" s="1">
        <v>41170</v>
      </c>
      <c r="D671" t="s">
        <v>22</v>
      </c>
      <c r="E671" t="s">
        <v>862</v>
      </c>
      <c r="F671" t="s">
        <v>54</v>
      </c>
      <c r="G671" t="s">
        <v>548</v>
      </c>
      <c r="H671" t="s">
        <v>48</v>
      </c>
      <c r="I671" t="s">
        <v>49</v>
      </c>
      <c r="J671" t="s">
        <v>40</v>
      </c>
      <c r="K671" t="s">
        <v>2815</v>
      </c>
      <c r="L671" t="s">
        <v>30</v>
      </c>
      <c r="M671" t="s">
        <v>31</v>
      </c>
      <c r="N671" t="s">
        <v>2816</v>
      </c>
      <c r="O671" s="2">
        <v>182</v>
      </c>
      <c r="P671">
        <v>6</v>
      </c>
      <c r="Q671" s="3">
        <v>0</v>
      </c>
      <c r="R671" s="2">
        <v>83.52</v>
      </c>
      <c r="S671" s="2">
        <v>16.86</v>
      </c>
      <c r="T671" t="s">
        <v>33</v>
      </c>
      <c r="U671">
        <v>2012</v>
      </c>
    </row>
    <row r="672" spans="1:21" x14ac:dyDescent="0.3">
      <c r="A672" t="s">
        <v>2817</v>
      </c>
      <c r="B672" s="1">
        <v>40805</v>
      </c>
      <c r="C672" s="1">
        <v>40807</v>
      </c>
      <c r="D672" t="s">
        <v>84</v>
      </c>
      <c r="E672" t="s">
        <v>2818</v>
      </c>
      <c r="F672" t="s">
        <v>54</v>
      </c>
      <c r="G672" t="s">
        <v>64</v>
      </c>
      <c r="H672" t="s">
        <v>56</v>
      </c>
      <c r="I672" t="s">
        <v>49</v>
      </c>
      <c r="J672" t="s">
        <v>57</v>
      </c>
      <c r="K672" t="s">
        <v>2819</v>
      </c>
      <c r="L672" t="s">
        <v>30</v>
      </c>
      <c r="M672" t="s">
        <v>42</v>
      </c>
      <c r="N672" t="s">
        <v>2820</v>
      </c>
      <c r="O672" s="2">
        <v>172</v>
      </c>
      <c r="P672">
        <v>2</v>
      </c>
      <c r="Q672" s="3">
        <v>0.1</v>
      </c>
      <c r="R672" s="2">
        <v>47.597999999999999</v>
      </c>
      <c r="S672" s="2">
        <v>53.53</v>
      </c>
      <c r="T672" t="s">
        <v>68</v>
      </c>
      <c r="U672">
        <v>2011</v>
      </c>
    </row>
    <row r="673" spans="1:21" x14ac:dyDescent="0.3">
      <c r="A673" t="s">
        <v>2821</v>
      </c>
      <c r="B673" s="1">
        <v>41533</v>
      </c>
      <c r="C673" s="1">
        <v>41537</v>
      </c>
      <c r="D673" t="s">
        <v>22</v>
      </c>
      <c r="E673" t="s">
        <v>1345</v>
      </c>
      <c r="F673" t="s">
        <v>24</v>
      </c>
      <c r="G673" t="s">
        <v>2327</v>
      </c>
      <c r="H673" t="s">
        <v>103</v>
      </c>
      <c r="I673" t="s">
        <v>39</v>
      </c>
      <c r="J673" t="s">
        <v>57</v>
      </c>
      <c r="K673" t="s">
        <v>2822</v>
      </c>
      <c r="L673" t="s">
        <v>30</v>
      </c>
      <c r="M673" t="s">
        <v>370</v>
      </c>
      <c r="N673" t="s">
        <v>2823</v>
      </c>
      <c r="O673" s="2">
        <v>23</v>
      </c>
      <c r="P673">
        <v>2</v>
      </c>
      <c r="Q673" s="3">
        <v>0.4</v>
      </c>
      <c r="R673" s="2">
        <v>-11.375999999999999</v>
      </c>
      <c r="S673" s="2">
        <v>1.65</v>
      </c>
      <c r="T673" t="s">
        <v>99</v>
      </c>
      <c r="U673">
        <v>2013</v>
      </c>
    </row>
    <row r="674" spans="1:21" x14ac:dyDescent="0.3">
      <c r="A674" t="s">
        <v>2824</v>
      </c>
      <c r="B674" s="1">
        <v>41537</v>
      </c>
      <c r="C674" s="1">
        <v>41541</v>
      </c>
      <c r="D674" t="s">
        <v>22</v>
      </c>
      <c r="E674" t="s">
        <v>683</v>
      </c>
      <c r="F674" t="s">
        <v>36</v>
      </c>
      <c r="G674" t="s">
        <v>2825</v>
      </c>
      <c r="H674" t="s">
        <v>1147</v>
      </c>
      <c r="I674" t="s">
        <v>39</v>
      </c>
      <c r="J674" t="s">
        <v>129</v>
      </c>
      <c r="K674" t="s">
        <v>2826</v>
      </c>
      <c r="L674" t="s">
        <v>30</v>
      </c>
      <c r="M674" t="s">
        <v>31</v>
      </c>
      <c r="N674" t="s">
        <v>656</v>
      </c>
      <c r="O674" s="2">
        <v>6</v>
      </c>
      <c r="P674">
        <v>2</v>
      </c>
      <c r="Q674" s="3">
        <v>0</v>
      </c>
      <c r="R674" s="2">
        <v>1.76</v>
      </c>
      <c r="S674" s="2">
        <v>0.72</v>
      </c>
      <c r="T674" t="s">
        <v>99</v>
      </c>
      <c r="U674">
        <v>2013</v>
      </c>
    </row>
    <row r="675" spans="1:21" x14ac:dyDescent="0.3">
      <c r="A675" t="s">
        <v>2827</v>
      </c>
      <c r="B675" s="1">
        <v>41982</v>
      </c>
      <c r="C675" s="1">
        <v>41987</v>
      </c>
      <c r="D675" t="s">
        <v>22</v>
      </c>
      <c r="E675" t="s">
        <v>1987</v>
      </c>
      <c r="F675" t="s">
        <v>54</v>
      </c>
      <c r="G675" t="s">
        <v>2470</v>
      </c>
      <c r="H675" t="s">
        <v>2471</v>
      </c>
      <c r="I675" t="s">
        <v>49</v>
      </c>
      <c r="J675" t="s">
        <v>129</v>
      </c>
      <c r="K675" t="s">
        <v>2828</v>
      </c>
      <c r="L675" t="s">
        <v>59</v>
      </c>
      <c r="M675" t="s">
        <v>139</v>
      </c>
      <c r="N675" t="s">
        <v>1879</v>
      </c>
      <c r="O675" s="2">
        <v>224</v>
      </c>
      <c r="P675">
        <v>3</v>
      </c>
      <c r="Q675" s="3">
        <v>0.5</v>
      </c>
      <c r="R675" s="2">
        <v>-80.819999999999993</v>
      </c>
      <c r="S675" s="2">
        <v>26.03</v>
      </c>
      <c r="T675" t="s">
        <v>33</v>
      </c>
      <c r="U675">
        <v>2014</v>
      </c>
    </row>
    <row r="676" spans="1:21" x14ac:dyDescent="0.3">
      <c r="A676" t="s">
        <v>2829</v>
      </c>
      <c r="B676" s="1">
        <v>41903</v>
      </c>
      <c r="C676" s="1">
        <v>41909</v>
      </c>
      <c r="D676" t="s">
        <v>22</v>
      </c>
      <c r="E676" t="s">
        <v>1955</v>
      </c>
      <c r="F676" t="s">
        <v>54</v>
      </c>
      <c r="G676" t="s">
        <v>395</v>
      </c>
      <c r="H676" t="s">
        <v>135</v>
      </c>
      <c r="I676" t="s">
        <v>136</v>
      </c>
      <c r="J676" t="s">
        <v>396</v>
      </c>
      <c r="K676" t="s">
        <v>2830</v>
      </c>
      <c r="L676" t="s">
        <v>30</v>
      </c>
      <c r="M676" t="s">
        <v>105</v>
      </c>
      <c r="N676" t="s">
        <v>2831</v>
      </c>
      <c r="O676" s="2">
        <v>39</v>
      </c>
      <c r="P676">
        <v>9</v>
      </c>
      <c r="Q676" s="3">
        <v>0</v>
      </c>
      <c r="R676" s="2">
        <v>18.104399999999998</v>
      </c>
      <c r="S676" s="2">
        <v>1.88</v>
      </c>
      <c r="T676" t="s">
        <v>33</v>
      </c>
      <c r="U676">
        <v>2014</v>
      </c>
    </row>
    <row r="677" spans="1:21" x14ac:dyDescent="0.3">
      <c r="A677" t="s">
        <v>2832</v>
      </c>
      <c r="B677" s="1">
        <v>41860</v>
      </c>
      <c r="C677" s="1">
        <v>41864</v>
      </c>
      <c r="D677" t="s">
        <v>22</v>
      </c>
      <c r="E677" t="s">
        <v>1690</v>
      </c>
      <c r="F677" t="s">
        <v>54</v>
      </c>
      <c r="G677" t="s">
        <v>2364</v>
      </c>
      <c r="H677" t="s">
        <v>2365</v>
      </c>
      <c r="I677" t="s">
        <v>27</v>
      </c>
      <c r="J677" t="s">
        <v>28</v>
      </c>
      <c r="K677" t="s">
        <v>2833</v>
      </c>
      <c r="L677" t="s">
        <v>30</v>
      </c>
      <c r="M677" t="s">
        <v>31</v>
      </c>
      <c r="N677" t="s">
        <v>1670</v>
      </c>
      <c r="O677" s="2">
        <v>117</v>
      </c>
      <c r="P677">
        <v>5</v>
      </c>
      <c r="Q677" s="3">
        <v>0.17</v>
      </c>
      <c r="R677" s="2">
        <v>43.654499999999999</v>
      </c>
      <c r="S677" s="2">
        <v>7.5</v>
      </c>
      <c r="T677" t="s">
        <v>33</v>
      </c>
      <c r="U677">
        <v>2014</v>
      </c>
    </row>
    <row r="678" spans="1:21" x14ac:dyDescent="0.3">
      <c r="A678" t="s">
        <v>2834</v>
      </c>
      <c r="B678" s="1">
        <v>41901</v>
      </c>
      <c r="C678" s="1">
        <v>41906</v>
      </c>
      <c r="D678" t="s">
        <v>45</v>
      </c>
      <c r="E678" t="s">
        <v>2835</v>
      </c>
      <c r="F678" t="s">
        <v>24</v>
      </c>
      <c r="G678" t="s">
        <v>2836</v>
      </c>
      <c r="H678" t="s">
        <v>211</v>
      </c>
      <c r="I678" t="s">
        <v>27</v>
      </c>
      <c r="J678" t="s">
        <v>212</v>
      </c>
      <c r="K678" t="s">
        <v>2837</v>
      </c>
      <c r="L678" t="s">
        <v>30</v>
      </c>
      <c r="M678" t="s">
        <v>410</v>
      </c>
      <c r="N678" t="s">
        <v>2838</v>
      </c>
      <c r="O678" s="2">
        <v>25</v>
      </c>
      <c r="P678">
        <v>2</v>
      </c>
      <c r="Q678" s="3">
        <v>0</v>
      </c>
      <c r="R678" s="2">
        <v>3.96</v>
      </c>
      <c r="S678" s="2">
        <v>1.78</v>
      </c>
      <c r="T678" t="s">
        <v>33</v>
      </c>
      <c r="U678">
        <v>2014</v>
      </c>
    </row>
    <row r="679" spans="1:21" x14ac:dyDescent="0.3">
      <c r="A679" t="s">
        <v>2839</v>
      </c>
      <c r="B679" s="1">
        <v>41180</v>
      </c>
      <c r="C679" s="1">
        <v>41183</v>
      </c>
      <c r="D679" t="s">
        <v>84</v>
      </c>
      <c r="E679" t="s">
        <v>2673</v>
      </c>
      <c r="F679" t="s">
        <v>54</v>
      </c>
      <c r="G679" t="s">
        <v>2840</v>
      </c>
      <c r="H679" t="s">
        <v>1147</v>
      </c>
      <c r="I679" t="s">
        <v>39</v>
      </c>
      <c r="J679" t="s">
        <v>129</v>
      </c>
      <c r="K679" t="s">
        <v>2841</v>
      </c>
      <c r="L679" t="s">
        <v>146</v>
      </c>
      <c r="M679" t="s">
        <v>195</v>
      </c>
      <c r="N679" t="s">
        <v>2842</v>
      </c>
      <c r="O679" s="2">
        <v>577</v>
      </c>
      <c r="P679">
        <v>5</v>
      </c>
      <c r="Q679" s="3">
        <v>0</v>
      </c>
      <c r="R679" s="2">
        <v>57.6</v>
      </c>
      <c r="S679" s="2">
        <v>95.92</v>
      </c>
      <c r="T679" t="s">
        <v>99</v>
      </c>
      <c r="U679">
        <v>2012</v>
      </c>
    </row>
    <row r="680" spans="1:21" x14ac:dyDescent="0.3">
      <c r="A680" t="s">
        <v>2843</v>
      </c>
      <c r="B680" s="1">
        <v>40764</v>
      </c>
      <c r="C680" s="1">
        <v>40770</v>
      </c>
      <c r="D680" t="s">
        <v>22</v>
      </c>
      <c r="E680" t="s">
        <v>2844</v>
      </c>
      <c r="F680" t="s">
        <v>54</v>
      </c>
      <c r="G680" t="s">
        <v>2845</v>
      </c>
      <c r="H680" t="s">
        <v>1111</v>
      </c>
      <c r="I680" t="s">
        <v>88</v>
      </c>
      <c r="J680" t="s">
        <v>88</v>
      </c>
      <c r="K680" t="s">
        <v>2846</v>
      </c>
      <c r="L680" t="s">
        <v>30</v>
      </c>
      <c r="M680" t="s">
        <v>75</v>
      </c>
      <c r="N680" t="s">
        <v>2847</v>
      </c>
      <c r="O680" s="2">
        <v>35</v>
      </c>
      <c r="P680">
        <v>4</v>
      </c>
      <c r="Q680" s="3">
        <v>0</v>
      </c>
      <c r="R680" s="2">
        <v>15.96</v>
      </c>
      <c r="S680" s="2">
        <v>2.68</v>
      </c>
      <c r="T680" t="s">
        <v>33</v>
      </c>
      <c r="U680">
        <v>2011</v>
      </c>
    </row>
    <row r="681" spans="1:21" x14ac:dyDescent="0.3">
      <c r="A681" t="s">
        <v>2848</v>
      </c>
      <c r="B681" s="1">
        <v>40805</v>
      </c>
      <c r="C681" s="1">
        <v>40810</v>
      </c>
      <c r="D681" t="s">
        <v>22</v>
      </c>
      <c r="E681" t="s">
        <v>2849</v>
      </c>
      <c r="F681" t="s">
        <v>54</v>
      </c>
      <c r="G681" t="s">
        <v>1967</v>
      </c>
      <c r="H681" t="s">
        <v>316</v>
      </c>
      <c r="I681" t="s">
        <v>27</v>
      </c>
      <c r="J681" t="s">
        <v>212</v>
      </c>
      <c r="K681" t="s">
        <v>2850</v>
      </c>
      <c r="L681" t="s">
        <v>30</v>
      </c>
      <c r="M681" t="s">
        <v>42</v>
      </c>
      <c r="N681" t="s">
        <v>2851</v>
      </c>
      <c r="O681" s="2">
        <v>737</v>
      </c>
      <c r="P681">
        <v>9</v>
      </c>
      <c r="Q681" s="3">
        <v>0.1</v>
      </c>
      <c r="R681" s="2">
        <v>261.81900000000002</v>
      </c>
      <c r="S681" s="2">
        <v>36.549999999999997</v>
      </c>
      <c r="T681" t="s">
        <v>33</v>
      </c>
      <c r="U681">
        <v>2011</v>
      </c>
    </row>
    <row r="682" spans="1:21" x14ac:dyDescent="0.3">
      <c r="A682" t="s">
        <v>2852</v>
      </c>
      <c r="B682" s="1">
        <v>41495</v>
      </c>
      <c r="C682" s="1">
        <v>41501</v>
      </c>
      <c r="D682" t="s">
        <v>22</v>
      </c>
      <c r="E682" t="s">
        <v>940</v>
      </c>
      <c r="F682" t="s">
        <v>54</v>
      </c>
      <c r="G682" t="s">
        <v>2215</v>
      </c>
      <c r="H682" t="s">
        <v>72</v>
      </c>
      <c r="I682" t="s">
        <v>27</v>
      </c>
      <c r="J682" t="s">
        <v>73</v>
      </c>
      <c r="K682" t="s">
        <v>2853</v>
      </c>
      <c r="L682" t="s">
        <v>30</v>
      </c>
      <c r="M682" t="s">
        <v>105</v>
      </c>
      <c r="N682" t="s">
        <v>381</v>
      </c>
      <c r="O682" s="2">
        <v>41</v>
      </c>
      <c r="P682">
        <v>2</v>
      </c>
      <c r="Q682" s="3">
        <v>0</v>
      </c>
      <c r="R682" s="2">
        <v>5.7</v>
      </c>
      <c r="S682" s="2">
        <v>2.79</v>
      </c>
      <c r="T682" t="s">
        <v>33</v>
      </c>
      <c r="U682">
        <v>2013</v>
      </c>
    </row>
    <row r="683" spans="1:21" x14ac:dyDescent="0.3">
      <c r="A683" t="s">
        <v>2854</v>
      </c>
      <c r="B683" s="1">
        <v>41069</v>
      </c>
      <c r="C683" s="1">
        <v>41069</v>
      </c>
      <c r="D683" t="s">
        <v>232</v>
      </c>
      <c r="E683" t="s">
        <v>2855</v>
      </c>
      <c r="F683" t="s">
        <v>54</v>
      </c>
      <c r="G683" t="s">
        <v>184</v>
      </c>
      <c r="H683" t="s">
        <v>152</v>
      </c>
      <c r="I683" t="s">
        <v>27</v>
      </c>
      <c r="J683" t="s">
        <v>153</v>
      </c>
      <c r="K683" t="s">
        <v>2856</v>
      </c>
      <c r="L683" t="s">
        <v>30</v>
      </c>
      <c r="M683" t="s">
        <v>66</v>
      </c>
      <c r="N683" t="s">
        <v>2169</v>
      </c>
      <c r="O683" s="2">
        <v>269</v>
      </c>
      <c r="P683">
        <v>2</v>
      </c>
      <c r="Q683" s="3">
        <v>0</v>
      </c>
      <c r="R683" s="2">
        <v>78.06</v>
      </c>
      <c r="S683" s="2">
        <v>63.94</v>
      </c>
      <c r="T683" t="s">
        <v>33</v>
      </c>
      <c r="U683">
        <v>2012</v>
      </c>
    </row>
    <row r="684" spans="1:21" x14ac:dyDescent="0.3">
      <c r="A684" t="s">
        <v>2857</v>
      </c>
      <c r="B684" s="1">
        <v>40703</v>
      </c>
      <c r="C684" s="1">
        <v>40707</v>
      </c>
      <c r="D684" t="s">
        <v>22</v>
      </c>
      <c r="E684" t="s">
        <v>2392</v>
      </c>
      <c r="F684" t="s">
        <v>54</v>
      </c>
      <c r="G684" t="s">
        <v>1044</v>
      </c>
      <c r="H684" t="s">
        <v>844</v>
      </c>
      <c r="I684" t="s">
        <v>39</v>
      </c>
      <c r="J684" t="s">
        <v>57</v>
      </c>
      <c r="K684" t="s">
        <v>2858</v>
      </c>
      <c r="L684" t="s">
        <v>146</v>
      </c>
      <c r="M684" t="s">
        <v>271</v>
      </c>
      <c r="N684" t="s">
        <v>2859</v>
      </c>
      <c r="O684" s="2">
        <v>345</v>
      </c>
      <c r="P684">
        <v>2</v>
      </c>
      <c r="Q684" s="3">
        <v>0</v>
      </c>
      <c r="R684" s="2">
        <v>117.36</v>
      </c>
      <c r="S684" s="2">
        <v>25.61</v>
      </c>
      <c r="T684" t="s">
        <v>33</v>
      </c>
      <c r="U684">
        <v>2011</v>
      </c>
    </row>
    <row r="685" spans="1:21" x14ac:dyDescent="0.3">
      <c r="A685" t="s">
        <v>2860</v>
      </c>
      <c r="B685" s="1">
        <v>40703</v>
      </c>
      <c r="C685" s="1">
        <v>40707</v>
      </c>
      <c r="D685" t="s">
        <v>22</v>
      </c>
      <c r="E685" t="s">
        <v>898</v>
      </c>
      <c r="F685" t="s">
        <v>54</v>
      </c>
      <c r="G685" t="s">
        <v>1475</v>
      </c>
      <c r="H685" t="s">
        <v>296</v>
      </c>
      <c r="I685" t="s">
        <v>88</v>
      </c>
      <c r="J685" t="s">
        <v>88</v>
      </c>
      <c r="K685" t="s">
        <v>2861</v>
      </c>
      <c r="L685" t="s">
        <v>146</v>
      </c>
      <c r="M685" t="s">
        <v>195</v>
      </c>
      <c r="N685" t="s">
        <v>2862</v>
      </c>
      <c r="O685" s="2">
        <v>312</v>
      </c>
      <c r="P685">
        <v>1</v>
      </c>
      <c r="Q685" s="3">
        <v>0</v>
      </c>
      <c r="R685" s="2">
        <v>62.43</v>
      </c>
      <c r="S685" s="2">
        <v>24.67</v>
      </c>
      <c r="T685" t="s">
        <v>33</v>
      </c>
      <c r="U685">
        <v>2011</v>
      </c>
    </row>
    <row r="686" spans="1:21" x14ac:dyDescent="0.3">
      <c r="A686" t="s">
        <v>2863</v>
      </c>
      <c r="B686" s="1">
        <v>41901</v>
      </c>
      <c r="C686" s="1">
        <v>41905</v>
      </c>
      <c r="D686" t="s">
        <v>22</v>
      </c>
      <c r="E686" t="s">
        <v>2404</v>
      </c>
      <c r="F686" t="s">
        <v>24</v>
      </c>
      <c r="G686" t="s">
        <v>708</v>
      </c>
      <c r="H686" t="s">
        <v>103</v>
      </c>
      <c r="I686" t="s">
        <v>39</v>
      </c>
      <c r="J686" t="s">
        <v>57</v>
      </c>
      <c r="K686" t="s">
        <v>2361</v>
      </c>
      <c r="L686" t="s">
        <v>30</v>
      </c>
      <c r="M686" t="s">
        <v>370</v>
      </c>
      <c r="N686" t="s">
        <v>2362</v>
      </c>
      <c r="O686" s="2">
        <v>95</v>
      </c>
      <c r="P686">
        <v>6</v>
      </c>
      <c r="Q686" s="3">
        <v>0.4</v>
      </c>
      <c r="R686" s="2">
        <v>-26.832000000000001</v>
      </c>
      <c r="S686" s="2">
        <v>6.11</v>
      </c>
      <c r="T686" t="s">
        <v>33</v>
      </c>
      <c r="U686">
        <v>2014</v>
      </c>
    </row>
    <row r="687" spans="1:21" x14ac:dyDescent="0.3">
      <c r="A687" t="s">
        <v>2864</v>
      </c>
      <c r="B687" s="1">
        <v>41768</v>
      </c>
      <c r="C687" s="1">
        <v>41771</v>
      </c>
      <c r="D687" t="s">
        <v>84</v>
      </c>
      <c r="E687" t="s">
        <v>2270</v>
      </c>
      <c r="F687" t="s">
        <v>36</v>
      </c>
      <c r="G687" t="s">
        <v>2215</v>
      </c>
      <c r="H687" t="s">
        <v>72</v>
      </c>
      <c r="I687" t="s">
        <v>27</v>
      </c>
      <c r="J687" t="s">
        <v>73</v>
      </c>
      <c r="K687" t="s">
        <v>2865</v>
      </c>
      <c r="L687" t="s">
        <v>59</v>
      </c>
      <c r="M687" t="s">
        <v>60</v>
      </c>
      <c r="N687" t="s">
        <v>2866</v>
      </c>
      <c r="O687" s="2">
        <v>252</v>
      </c>
      <c r="P687">
        <v>5</v>
      </c>
      <c r="Q687" s="3">
        <v>0</v>
      </c>
      <c r="R687" s="2">
        <v>17.55</v>
      </c>
      <c r="S687" s="2">
        <v>30.56</v>
      </c>
      <c r="T687" t="s">
        <v>99</v>
      </c>
      <c r="U687">
        <v>2014</v>
      </c>
    </row>
    <row r="688" spans="1:21" x14ac:dyDescent="0.3">
      <c r="A688" t="s">
        <v>2867</v>
      </c>
      <c r="B688" s="1">
        <v>41173</v>
      </c>
      <c r="C688" s="1">
        <v>41176</v>
      </c>
      <c r="D688" t="s">
        <v>45</v>
      </c>
      <c r="E688" t="s">
        <v>2496</v>
      </c>
      <c r="F688" t="s">
        <v>54</v>
      </c>
      <c r="G688" t="s">
        <v>607</v>
      </c>
      <c r="H688" t="s">
        <v>235</v>
      </c>
      <c r="I688" t="s">
        <v>39</v>
      </c>
      <c r="J688" t="s">
        <v>236</v>
      </c>
      <c r="K688" t="s">
        <v>2868</v>
      </c>
      <c r="L688" t="s">
        <v>59</v>
      </c>
      <c r="M688" t="s">
        <v>339</v>
      </c>
      <c r="N688" t="s">
        <v>2869</v>
      </c>
      <c r="O688" s="2">
        <v>659</v>
      </c>
      <c r="P688">
        <v>4</v>
      </c>
      <c r="Q688" s="3">
        <v>0.4</v>
      </c>
      <c r="R688" s="2">
        <v>-219.85599999999999</v>
      </c>
      <c r="S688" s="2">
        <v>111.23</v>
      </c>
      <c r="T688" t="s">
        <v>99</v>
      </c>
      <c r="U688">
        <v>2012</v>
      </c>
    </row>
    <row r="689" spans="1:21" x14ac:dyDescent="0.3">
      <c r="A689" t="s">
        <v>2870</v>
      </c>
      <c r="B689" s="1">
        <v>41891</v>
      </c>
      <c r="C689" s="1">
        <v>41896</v>
      </c>
      <c r="D689" t="s">
        <v>22</v>
      </c>
      <c r="E689" t="s">
        <v>2871</v>
      </c>
      <c r="F689" t="s">
        <v>24</v>
      </c>
      <c r="G689" t="s">
        <v>722</v>
      </c>
      <c r="H689" t="s">
        <v>723</v>
      </c>
      <c r="I689" t="s">
        <v>27</v>
      </c>
      <c r="J689" t="s">
        <v>28</v>
      </c>
      <c r="K689" t="s">
        <v>2872</v>
      </c>
      <c r="L689" t="s">
        <v>146</v>
      </c>
      <c r="M689" t="s">
        <v>195</v>
      </c>
      <c r="N689" t="s">
        <v>2873</v>
      </c>
      <c r="O689" s="2">
        <v>627</v>
      </c>
      <c r="P689">
        <v>5</v>
      </c>
      <c r="Q689" s="3">
        <v>0.25</v>
      </c>
      <c r="R689" s="2">
        <v>91.875</v>
      </c>
      <c r="S689" s="2">
        <v>54.85</v>
      </c>
      <c r="T689" t="s">
        <v>33</v>
      </c>
      <c r="U689">
        <v>2014</v>
      </c>
    </row>
    <row r="690" spans="1:21" x14ac:dyDescent="0.3">
      <c r="A690" t="s">
        <v>2874</v>
      </c>
      <c r="B690" s="1">
        <v>41535</v>
      </c>
      <c r="C690" s="1">
        <v>41539</v>
      </c>
      <c r="D690" t="s">
        <v>22</v>
      </c>
      <c r="E690" t="s">
        <v>2875</v>
      </c>
      <c r="F690" t="s">
        <v>54</v>
      </c>
      <c r="G690" t="s">
        <v>2876</v>
      </c>
      <c r="H690" t="s">
        <v>224</v>
      </c>
      <c r="I690" t="s">
        <v>49</v>
      </c>
      <c r="J690" t="s">
        <v>40</v>
      </c>
      <c r="K690" t="s">
        <v>2877</v>
      </c>
      <c r="L690" t="s">
        <v>30</v>
      </c>
      <c r="M690" t="s">
        <v>105</v>
      </c>
      <c r="N690" t="s">
        <v>2878</v>
      </c>
      <c r="O690" s="2">
        <v>89</v>
      </c>
      <c r="P690">
        <v>3</v>
      </c>
      <c r="Q690" s="3">
        <v>0</v>
      </c>
      <c r="R690" s="2">
        <v>23.13</v>
      </c>
      <c r="S690" s="2">
        <v>7.77</v>
      </c>
      <c r="T690" t="s">
        <v>99</v>
      </c>
      <c r="U690">
        <v>2013</v>
      </c>
    </row>
    <row r="691" spans="1:21" x14ac:dyDescent="0.3">
      <c r="A691" t="s">
        <v>2879</v>
      </c>
      <c r="B691" s="1">
        <v>40814</v>
      </c>
      <c r="C691" s="1">
        <v>40816</v>
      </c>
      <c r="D691" t="s">
        <v>45</v>
      </c>
      <c r="E691" t="s">
        <v>779</v>
      </c>
      <c r="F691" t="s">
        <v>54</v>
      </c>
      <c r="G691" t="s">
        <v>1044</v>
      </c>
      <c r="H691" t="s">
        <v>844</v>
      </c>
      <c r="I691" t="s">
        <v>39</v>
      </c>
      <c r="J691" t="s">
        <v>57</v>
      </c>
      <c r="K691" t="s">
        <v>2880</v>
      </c>
      <c r="L691" t="s">
        <v>30</v>
      </c>
      <c r="M691" t="s">
        <v>31</v>
      </c>
      <c r="N691" t="s">
        <v>119</v>
      </c>
      <c r="O691" s="2">
        <v>3</v>
      </c>
      <c r="P691">
        <v>1</v>
      </c>
      <c r="Q691" s="3">
        <v>0</v>
      </c>
      <c r="R691" s="2">
        <v>1.42</v>
      </c>
      <c r="S691" s="2">
        <v>0.56000000000000005</v>
      </c>
      <c r="T691" t="s">
        <v>99</v>
      </c>
      <c r="U691">
        <v>2011</v>
      </c>
    </row>
    <row r="692" spans="1:21" x14ac:dyDescent="0.3">
      <c r="A692" t="s">
        <v>2881</v>
      </c>
      <c r="B692" s="1">
        <v>40800</v>
      </c>
      <c r="C692" s="1">
        <v>40805</v>
      </c>
      <c r="D692" t="s">
        <v>22</v>
      </c>
      <c r="E692" t="s">
        <v>2882</v>
      </c>
      <c r="F692" t="s">
        <v>24</v>
      </c>
      <c r="G692" t="s">
        <v>127</v>
      </c>
      <c r="H692" t="s">
        <v>128</v>
      </c>
      <c r="I692" t="s">
        <v>49</v>
      </c>
      <c r="J692" t="s">
        <v>129</v>
      </c>
      <c r="K692" t="s">
        <v>2883</v>
      </c>
      <c r="L692" t="s">
        <v>146</v>
      </c>
      <c r="M692" t="s">
        <v>271</v>
      </c>
      <c r="N692" t="s">
        <v>2884</v>
      </c>
      <c r="O692" s="2">
        <v>211</v>
      </c>
      <c r="P692">
        <v>3</v>
      </c>
      <c r="Q692" s="3">
        <v>0</v>
      </c>
      <c r="R692" s="2">
        <v>18.899999999999999</v>
      </c>
      <c r="S692" s="2">
        <v>4.67</v>
      </c>
      <c r="T692" t="s">
        <v>33</v>
      </c>
      <c r="U692">
        <v>2011</v>
      </c>
    </row>
    <row r="693" spans="1:21" x14ac:dyDescent="0.3">
      <c r="A693" t="s">
        <v>2885</v>
      </c>
      <c r="B693" s="1">
        <v>41901</v>
      </c>
      <c r="C693" s="1">
        <v>41901</v>
      </c>
      <c r="D693" t="s">
        <v>232</v>
      </c>
      <c r="E693" t="s">
        <v>2886</v>
      </c>
      <c r="F693" t="s">
        <v>36</v>
      </c>
      <c r="G693" t="s">
        <v>2836</v>
      </c>
      <c r="H693" t="s">
        <v>211</v>
      </c>
      <c r="I693" t="s">
        <v>27</v>
      </c>
      <c r="J693" t="s">
        <v>212</v>
      </c>
      <c r="K693" t="s">
        <v>2887</v>
      </c>
      <c r="L693" t="s">
        <v>30</v>
      </c>
      <c r="M693" t="s">
        <v>410</v>
      </c>
      <c r="N693" t="s">
        <v>2888</v>
      </c>
      <c r="O693" s="2">
        <v>148</v>
      </c>
      <c r="P693">
        <v>6</v>
      </c>
      <c r="Q693" s="3">
        <v>0</v>
      </c>
      <c r="R693" s="2">
        <v>20.7</v>
      </c>
      <c r="S693" s="2">
        <v>33.619999999999997</v>
      </c>
      <c r="T693" t="s">
        <v>68</v>
      </c>
      <c r="U693">
        <v>2014</v>
      </c>
    </row>
    <row r="694" spans="1:21" x14ac:dyDescent="0.3">
      <c r="A694" t="s">
        <v>2889</v>
      </c>
      <c r="B694" s="1">
        <v>40813</v>
      </c>
      <c r="C694" s="1">
        <v>40820</v>
      </c>
      <c r="D694" t="s">
        <v>22</v>
      </c>
      <c r="E694" t="s">
        <v>2890</v>
      </c>
      <c r="F694" t="s">
        <v>54</v>
      </c>
      <c r="G694" t="s">
        <v>2891</v>
      </c>
      <c r="H694" t="s">
        <v>48</v>
      </c>
      <c r="I694" t="s">
        <v>49</v>
      </c>
      <c r="J694" t="s">
        <v>40</v>
      </c>
      <c r="K694" t="s">
        <v>2892</v>
      </c>
      <c r="L694" t="s">
        <v>30</v>
      </c>
      <c r="M694" t="s">
        <v>66</v>
      </c>
      <c r="N694" t="s">
        <v>2893</v>
      </c>
      <c r="O694" s="2">
        <v>305</v>
      </c>
      <c r="P694">
        <v>4</v>
      </c>
      <c r="Q694" s="3">
        <v>0.4</v>
      </c>
      <c r="R694" s="2">
        <v>-193.05600000000001</v>
      </c>
      <c r="S694" s="2">
        <v>30.49</v>
      </c>
      <c r="T694" t="s">
        <v>77</v>
      </c>
      <c r="U694">
        <v>2011</v>
      </c>
    </row>
    <row r="695" spans="1:21" x14ac:dyDescent="0.3">
      <c r="A695" t="s">
        <v>2894</v>
      </c>
      <c r="B695" s="1">
        <v>40583</v>
      </c>
      <c r="C695" s="1">
        <v>40588</v>
      </c>
      <c r="D695" t="s">
        <v>22</v>
      </c>
      <c r="E695" t="s">
        <v>2895</v>
      </c>
      <c r="F695" t="s">
        <v>36</v>
      </c>
      <c r="G695" t="s">
        <v>979</v>
      </c>
      <c r="H695" t="s">
        <v>224</v>
      </c>
      <c r="I695" t="s">
        <v>49</v>
      </c>
      <c r="J695" t="s">
        <v>40</v>
      </c>
      <c r="K695" t="s">
        <v>2896</v>
      </c>
      <c r="L695" t="s">
        <v>30</v>
      </c>
      <c r="M695" t="s">
        <v>90</v>
      </c>
      <c r="N695" t="s">
        <v>2268</v>
      </c>
      <c r="O695" s="2">
        <v>93</v>
      </c>
      <c r="P695">
        <v>2</v>
      </c>
      <c r="Q695" s="3">
        <v>0</v>
      </c>
      <c r="R695" s="2">
        <v>24.06</v>
      </c>
      <c r="S695" s="2">
        <v>5.54</v>
      </c>
      <c r="T695" t="s">
        <v>33</v>
      </c>
      <c r="U695">
        <v>2011</v>
      </c>
    </row>
    <row r="696" spans="1:21" x14ac:dyDescent="0.3">
      <c r="A696" t="s">
        <v>2897</v>
      </c>
      <c r="B696" s="1">
        <v>40977</v>
      </c>
      <c r="C696" s="1">
        <v>40981</v>
      </c>
      <c r="D696" t="s">
        <v>22</v>
      </c>
      <c r="E696" t="s">
        <v>2311</v>
      </c>
      <c r="F696" t="s">
        <v>54</v>
      </c>
      <c r="G696" t="s">
        <v>2898</v>
      </c>
      <c r="H696" t="s">
        <v>235</v>
      </c>
      <c r="I696" t="s">
        <v>39</v>
      </c>
      <c r="J696" t="s">
        <v>236</v>
      </c>
      <c r="K696" t="s">
        <v>2899</v>
      </c>
      <c r="L696" t="s">
        <v>30</v>
      </c>
      <c r="M696" t="s">
        <v>31</v>
      </c>
      <c r="N696" t="s">
        <v>2900</v>
      </c>
      <c r="O696" s="2">
        <v>9</v>
      </c>
      <c r="P696">
        <v>3</v>
      </c>
      <c r="Q696" s="3">
        <v>0.2</v>
      </c>
      <c r="R696" s="2">
        <v>-0.6</v>
      </c>
      <c r="S696" s="2">
        <v>0.77</v>
      </c>
      <c r="T696" t="s">
        <v>99</v>
      </c>
      <c r="U696">
        <v>2012</v>
      </c>
    </row>
    <row r="697" spans="1:21" x14ac:dyDescent="0.3">
      <c r="A697" t="s">
        <v>2901</v>
      </c>
      <c r="B697" s="1">
        <v>41130</v>
      </c>
      <c r="C697" s="1">
        <v>41135</v>
      </c>
      <c r="D697" t="s">
        <v>22</v>
      </c>
      <c r="E697" t="s">
        <v>2148</v>
      </c>
      <c r="F697" t="s">
        <v>54</v>
      </c>
      <c r="G697" t="s">
        <v>2902</v>
      </c>
      <c r="H697" t="s">
        <v>128</v>
      </c>
      <c r="I697" t="s">
        <v>49</v>
      </c>
      <c r="J697" t="s">
        <v>129</v>
      </c>
      <c r="K697" t="s">
        <v>2903</v>
      </c>
      <c r="L697" t="s">
        <v>30</v>
      </c>
      <c r="M697" t="s">
        <v>75</v>
      </c>
      <c r="N697" t="s">
        <v>2904</v>
      </c>
      <c r="O697" s="2">
        <v>107</v>
      </c>
      <c r="P697">
        <v>9</v>
      </c>
      <c r="Q697" s="3">
        <v>0</v>
      </c>
      <c r="R697" s="2">
        <v>23.22</v>
      </c>
      <c r="S697" s="2">
        <v>2.72</v>
      </c>
      <c r="T697" t="s">
        <v>33</v>
      </c>
      <c r="U697">
        <v>2012</v>
      </c>
    </row>
    <row r="698" spans="1:21" x14ac:dyDescent="0.3">
      <c r="A698" t="s">
        <v>2905</v>
      </c>
      <c r="B698" s="1">
        <v>40764</v>
      </c>
      <c r="C698" s="1">
        <v>40764</v>
      </c>
      <c r="D698" t="s">
        <v>232</v>
      </c>
      <c r="E698" t="s">
        <v>2906</v>
      </c>
      <c r="F698" t="s">
        <v>54</v>
      </c>
      <c r="G698" t="s">
        <v>607</v>
      </c>
      <c r="H698" t="s">
        <v>235</v>
      </c>
      <c r="I698" t="s">
        <v>39</v>
      </c>
      <c r="J698" t="s">
        <v>236</v>
      </c>
      <c r="K698" t="s">
        <v>2907</v>
      </c>
      <c r="L698" t="s">
        <v>146</v>
      </c>
      <c r="M698" t="s">
        <v>147</v>
      </c>
      <c r="N698" t="s">
        <v>2908</v>
      </c>
      <c r="O698" s="2">
        <v>2045</v>
      </c>
      <c r="P698">
        <v>6</v>
      </c>
      <c r="Q698" s="3">
        <v>0.2</v>
      </c>
      <c r="R698" s="2">
        <v>-332.28</v>
      </c>
      <c r="S698" s="2">
        <v>417.99</v>
      </c>
      <c r="T698" t="s">
        <v>99</v>
      </c>
      <c r="U698">
        <v>2011</v>
      </c>
    </row>
    <row r="699" spans="1:21" x14ac:dyDescent="0.3">
      <c r="A699" t="s">
        <v>2909</v>
      </c>
      <c r="B699" s="1">
        <v>41897</v>
      </c>
      <c r="C699" s="1">
        <v>41901</v>
      </c>
      <c r="D699" t="s">
        <v>22</v>
      </c>
      <c r="E699" t="s">
        <v>606</v>
      </c>
      <c r="F699" t="s">
        <v>54</v>
      </c>
      <c r="G699" t="s">
        <v>2910</v>
      </c>
      <c r="H699" t="s">
        <v>402</v>
      </c>
      <c r="I699" t="s">
        <v>39</v>
      </c>
      <c r="J699" t="s">
        <v>236</v>
      </c>
      <c r="K699" t="s">
        <v>2911</v>
      </c>
      <c r="L699" t="s">
        <v>30</v>
      </c>
      <c r="M699" t="s">
        <v>90</v>
      </c>
      <c r="N699" t="s">
        <v>2499</v>
      </c>
      <c r="O699" s="2">
        <v>133</v>
      </c>
      <c r="P699">
        <v>4</v>
      </c>
      <c r="Q699" s="3">
        <v>0</v>
      </c>
      <c r="R699" s="2">
        <v>53.12</v>
      </c>
      <c r="S699" s="2">
        <v>4.59</v>
      </c>
      <c r="T699" t="s">
        <v>33</v>
      </c>
      <c r="U699">
        <v>2014</v>
      </c>
    </row>
    <row r="700" spans="1:21" x14ac:dyDescent="0.3">
      <c r="A700" t="s">
        <v>2912</v>
      </c>
      <c r="B700" s="1">
        <v>41897</v>
      </c>
      <c r="C700" s="1">
        <v>41904</v>
      </c>
      <c r="D700" t="s">
        <v>22</v>
      </c>
      <c r="E700" t="s">
        <v>1646</v>
      </c>
      <c r="F700" t="s">
        <v>54</v>
      </c>
      <c r="G700" t="s">
        <v>2507</v>
      </c>
      <c r="H700" t="s">
        <v>2508</v>
      </c>
      <c r="I700" t="s">
        <v>49</v>
      </c>
      <c r="J700" t="s">
        <v>57</v>
      </c>
      <c r="K700" t="s">
        <v>2913</v>
      </c>
      <c r="L700" t="s">
        <v>30</v>
      </c>
      <c r="M700" t="s">
        <v>370</v>
      </c>
      <c r="N700" t="s">
        <v>2914</v>
      </c>
      <c r="O700" s="2">
        <v>64</v>
      </c>
      <c r="P700">
        <v>2</v>
      </c>
      <c r="Q700" s="3">
        <v>0</v>
      </c>
      <c r="R700" s="2">
        <v>20.58</v>
      </c>
      <c r="S700" s="2">
        <v>4.8899999999999997</v>
      </c>
      <c r="T700" t="s">
        <v>33</v>
      </c>
      <c r="U700">
        <v>2014</v>
      </c>
    </row>
    <row r="701" spans="1:21" x14ac:dyDescent="0.3">
      <c r="A701" t="s">
        <v>2915</v>
      </c>
      <c r="B701" s="1">
        <v>41495</v>
      </c>
      <c r="C701" s="1">
        <v>41499</v>
      </c>
      <c r="D701" t="s">
        <v>45</v>
      </c>
      <c r="E701" t="s">
        <v>815</v>
      </c>
      <c r="F701" t="s">
        <v>24</v>
      </c>
      <c r="G701" t="s">
        <v>697</v>
      </c>
      <c r="H701" t="s">
        <v>654</v>
      </c>
      <c r="I701" t="s">
        <v>117</v>
      </c>
      <c r="J701" t="s">
        <v>117</v>
      </c>
      <c r="K701" t="s">
        <v>2916</v>
      </c>
      <c r="L701" t="s">
        <v>30</v>
      </c>
      <c r="M701" t="s">
        <v>66</v>
      </c>
      <c r="N701" t="s">
        <v>2917</v>
      </c>
      <c r="O701" s="2">
        <v>127</v>
      </c>
      <c r="P701">
        <v>1</v>
      </c>
      <c r="Q701" s="3">
        <v>0.1</v>
      </c>
      <c r="R701" s="2">
        <v>9.9</v>
      </c>
      <c r="S701" s="2">
        <v>19.13</v>
      </c>
      <c r="T701" t="s">
        <v>99</v>
      </c>
      <c r="U701">
        <v>2013</v>
      </c>
    </row>
    <row r="702" spans="1:21" x14ac:dyDescent="0.3">
      <c r="A702" t="s">
        <v>2918</v>
      </c>
      <c r="B702" s="1">
        <v>40886</v>
      </c>
      <c r="C702" s="1">
        <v>40891</v>
      </c>
      <c r="D702" t="s">
        <v>22</v>
      </c>
      <c r="E702" t="s">
        <v>1686</v>
      </c>
      <c r="F702" t="s">
        <v>24</v>
      </c>
      <c r="G702" t="s">
        <v>127</v>
      </c>
      <c r="H702" t="s">
        <v>128</v>
      </c>
      <c r="I702" t="s">
        <v>49</v>
      </c>
      <c r="J702" t="s">
        <v>129</v>
      </c>
      <c r="K702" t="s">
        <v>2919</v>
      </c>
      <c r="L702" t="s">
        <v>59</v>
      </c>
      <c r="M702" t="s">
        <v>339</v>
      </c>
      <c r="N702" t="s">
        <v>2920</v>
      </c>
      <c r="O702" s="2">
        <v>874</v>
      </c>
      <c r="P702">
        <v>7</v>
      </c>
      <c r="Q702" s="3">
        <v>0</v>
      </c>
      <c r="R702" s="2">
        <v>340.83</v>
      </c>
      <c r="S702" s="2">
        <v>90.7</v>
      </c>
      <c r="T702" t="s">
        <v>33</v>
      </c>
      <c r="U702">
        <v>2011</v>
      </c>
    </row>
    <row r="703" spans="1:21" x14ac:dyDescent="0.3">
      <c r="A703" t="s">
        <v>2921</v>
      </c>
      <c r="B703" s="1">
        <v>41530</v>
      </c>
      <c r="C703" s="1">
        <v>41536</v>
      </c>
      <c r="D703" t="s">
        <v>22</v>
      </c>
      <c r="E703" t="s">
        <v>601</v>
      </c>
      <c r="F703" t="s">
        <v>24</v>
      </c>
      <c r="G703" t="s">
        <v>607</v>
      </c>
      <c r="H703" t="s">
        <v>235</v>
      </c>
      <c r="I703" t="s">
        <v>39</v>
      </c>
      <c r="J703" t="s">
        <v>236</v>
      </c>
      <c r="K703" t="s">
        <v>2922</v>
      </c>
      <c r="L703" t="s">
        <v>146</v>
      </c>
      <c r="M703" t="s">
        <v>271</v>
      </c>
      <c r="N703" t="s">
        <v>1531</v>
      </c>
      <c r="O703" s="2">
        <v>62</v>
      </c>
      <c r="P703">
        <v>2</v>
      </c>
      <c r="Q703" s="3">
        <v>0.2</v>
      </c>
      <c r="R703" s="2">
        <v>17.744</v>
      </c>
      <c r="S703" s="2">
        <v>2.81</v>
      </c>
      <c r="T703" t="s">
        <v>33</v>
      </c>
      <c r="U703">
        <v>2013</v>
      </c>
    </row>
    <row r="704" spans="1:21" x14ac:dyDescent="0.3">
      <c r="A704" t="s">
        <v>2923</v>
      </c>
      <c r="B704" s="1">
        <v>41900</v>
      </c>
      <c r="C704" s="1">
        <v>41905</v>
      </c>
      <c r="D704" t="s">
        <v>22</v>
      </c>
      <c r="E704" t="s">
        <v>2185</v>
      </c>
      <c r="F704" t="s">
        <v>36</v>
      </c>
      <c r="G704" t="s">
        <v>2924</v>
      </c>
      <c r="H704" t="s">
        <v>152</v>
      </c>
      <c r="I704" t="s">
        <v>27</v>
      </c>
      <c r="J704" t="s">
        <v>153</v>
      </c>
      <c r="K704" t="s">
        <v>2586</v>
      </c>
      <c r="L704" t="s">
        <v>30</v>
      </c>
      <c r="M704" t="s">
        <v>97</v>
      </c>
      <c r="N704" t="s">
        <v>2587</v>
      </c>
      <c r="O704" s="2">
        <v>20</v>
      </c>
      <c r="P704">
        <v>1</v>
      </c>
      <c r="Q704" s="3">
        <v>0</v>
      </c>
      <c r="R704" s="2">
        <v>1.59</v>
      </c>
      <c r="S704" s="2">
        <v>1.57</v>
      </c>
      <c r="T704" t="s">
        <v>33</v>
      </c>
      <c r="U704">
        <v>2014</v>
      </c>
    </row>
    <row r="705" spans="1:21" x14ac:dyDescent="0.3">
      <c r="A705" t="s">
        <v>2925</v>
      </c>
      <c r="B705" s="1">
        <v>41707</v>
      </c>
      <c r="C705" s="1">
        <v>41710</v>
      </c>
      <c r="D705" t="s">
        <v>84</v>
      </c>
      <c r="E705" t="s">
        <v>2727</v>
      </c>
      <c r="F705" t="s">
        <v>24</v>
      </c>
      <c r="G705" t="s">
        <v>1804</v>
      </c>
      <c r="H705" t="s">
        <v>135</v>
      </c>
      <c r="I705" t="s">
        <v>136</v>
      </c>
      <c r="J705" t="s">
        <v>40</v>
      </c>
      <c r="K705" t="s">
        <v>2926</v>
      </c>
      <c r="L705" t="s">
        <v>30</v>
      </c>
      <c r="M705" t="s">
        <v>75</v>
      </c>
      <c r="N705" t="s">
        <v>2927</v>
      </c>
      <c r="O705" s="2">
        <v>21</v>
      </c>
      <c r="P705">
        <v>2</v>
      </c>
      <c r="Q705" s="3">
        <v>0</v>
      </c>
      <c r="R705" s="2">
        <v>9.9359999999999999</v>
      </c>
      <c r="S705" s="2">
        <v>3.02</v>
      </c>
      <c r="T705" t="s">
        <v>99</v>
      </c>
      <c r="U705">
        <v>2014</v>
      </c>
    </row>
    <row r="706" spans="1:21" x14ac:dyDescent="0.3">
      <c r="A706" t="s">
        <v>2928</v>
      </c>
      <c r="B706" s="1">
        <v>41911</v>
      </c>
      <c r="C706" s="1">
        <v>41918</v>
      </c>
      <c r="D706" t="s">
        <v>22</v>
      </c>
      <c r="E706" t="s">
        <v>2095</v>
      </c>
      <c r="F706" t="s">
        <v>24</v>
      </c>
      <c r="G706" t="s">
        <v>849</v>
      </c>
      <c r="H706" t="s">
        <v>205</v>
      </c>
      <c r="I706" t="s">
        <v>49</v>
      </c>
      <c r="J706" t="s">
        <v>57</v>
      </c>
      <c r="K706" t="s">
        <v>2092</v>
      </c>
      <c r="L706" t="s">
        <v>30</v>
      </c>
      <c r="M706" t="s">
        <v>66</v>
      </c>
      <c r="N706" t="s">
        <v>2093</v>
      </c>
      <c r="O706" s="2">
        <v>29</v>
      </c>
      <c r="P706">
        <v>2</v>
      </c>
      <c r="Q706" s="3">
        <v>0.1</v>
      </c>
      <c r="R706" s="2">
        <v>-0.03</v>
      </c>
      <c r="S706" s="2">
        <v>1.93</v>
      </c>
      <c r="T706" t="s">
        <v>77</v>
      </c>
      <c r="U706">
        <v>2014</v>
      </c>
    </row>
    <row r="707" spans="1:21" x14ac:dyDescent="0.3">
      <c r="A707" t="s">
        <v>2929</v>
      </c>
      <c r="B707" s="1">
        <v>40808</v>
      </c>
      <c r="C707" s="1">
        <v>40815</v>
      </c>
      <c r="D707" t="s">
        <v>22</v>
      </c>
      <c r="E707" t="s">
        <v>2930</v>
      </c>
      <c r="F707" t="s">
        <v>54</v>
      </c>
      <c r="G707" t="s">
        <v>849</v>
      </c>
      <c r="H707" t="s">
        <v>205</v>
      </c>
      <c r="I707" t="s">
        <v>49</v>
      </c>
      <c r="J707" t="s">
        <v>57</v>
      </c>
      <c r="K707" t="s">
        <v>2931</v>
      </c>
      <c r="L707" t="s">
        <v>30</v>
      </c>
      <c r="M707" t="s">
        <v>90</v>
      </c>
      <c r="N707" t="s">
        <v>2932</v>
      </c>
      <c r="O707" s="2">
        <v>304</v>
      </c>
      <c r="P707">
        <v>6</v>
      </c>
      <c r="Q707" s="3">
        <v>0</v>
      </c>
      <c r="R707" s="2">
        <v>97.38</v>
      </c>
      <c r="S707" s="2">
        <v>25.5</v>
      </c>
      <c r="T707" t="s">
        <v>77</v>
      </c>
      <c r="U707">
        <v>2011</v>
      </c>
    </row>
    <row r="708" spans="1:21" x14ac:dyDescent="0.3">
      <c r="A708" t="s">
        <v>2933</v>
      </c>
      <c r="B708" s="1">
        <v>41495</v>
      </c>
      <c r="C708" s="1">
        <v>41498</v>
      </c>
      <c r="D708" t="s">
        <v>45</v>
      </c>
      <c r="E708" t="s">
        <v>1626</v>
      </c>
      <c r="F708" t="s">
        <v>24</v>
      </c>
      <c r="G708" t="s">
        <v>2934</v>
      </c>
      <c r="H708" t="s">
        <v>103</v>
      </c>
      <c r="I708" t="s">
        <v>39</v>
      </c>
      <c r="J708" t="s">
        <v>57</v>
      </c>
      <c r="K708" t="s">
        <v>2935</v>
      </c>
      <c r="L708" t="s">
        <v>146</v>
      </c>
      <c r="M708" t="s">
        <v>147</v>
      </c>
      <c r="N708" t="s">
        <v>1868</v>
      </c>
      <c r="O708" s="2">
        <v>521</v>
      </c>
      <c r="P708">
        <v>2</v>
      </c>
      <c r="Q708" s="3">
        <v>0.4</v>
      </c>
      <c r="R708" s="2">
        <v>-321.416</v>
      </c>
      <c r="S708" s="2">
        <v>57.69</v>
      </c>
      <c r="T708" t="s">
        <v>33</v>
      </c>
      <c r="U708">
        <v>2013</v>
      </c>
    </row>
    <row r="709" spans="1:21" x14ac:dyDescent="0.3">
      <c r="A709" t="s">
        <v>2936</v>
      </c>
      <c r="B709" s="1">
        <v>41174</v>
      </c>
      <c r="C709" s="1">
        <v>41179</v>
      </c>
      <c r="D709" t="s">
        <v>45</v>
      </c>
      <c r="E709" t="s">
        <v>2937</v>
      </c>
      <c r="F709" t="s">
        <v>24</v>
      </c>
      <c r="G709" t="s">
        <v>2938</v>
      </c>
      <c r="H709" t="s">
        <v>269</v>
      </c>
      <c r="I709" t="s">
        <v>88</v>
      </c>
      <c r="J709" t="s">
        <v>88</v>
      </c>
      <c r="K709" t="s">
        <v>2939</v>
      </c>
      <c r="L709" t="s">
        <v>30</v>
      </c>
      <c r="M709" t="s">
        <v>410</v>
      </c>
      <c r="N709" t="s">
        <v>2940</v>
      </c>
      <c r="O709" s="2">
        <v>12</v>
      </c>
      <c r="P709">
        <v>1</v>
      </c>
      <c r="Q709" s="3">
        <v>0</v>
      </c>
      <c r="R709" s="2">
        <v>3.36</v>
      </c>
      <c r="S709" s="2">
        <v>1.19</v>
      </c>
      <c r="T709" t="s">
        <v>33</v>
      </c>
      <c r="U709">
        <v>2012</v>
      </c>
    </row>
    <row r="710" spans="1:21" x14ac:dyDescent="0.3">
      <c r="A710" t="s">
        <v>2941</v>
      </c>
      <c r="B710" s="1">
        <v>41899</v>
      </c>
      <c r="C710" s="1">
        <v>41899</v>
      </c>
      <c r="D710" t="s">
        <v>232</v>
      </c>
      <c r="E710" t="s">
        <v>2942</v>
      </c>
      <c r="F710" t="s">
        <v>24</v>
      </c>
      <c r="G710" t="s">
        <v>2943</v>
      </c>
      <c r="H710" t="s">
        <v>390</v>
      </c>
      <c r="I710" t="s">
        <v>39</v>
      </c>
      <c r="J710" t="s">
        <v>57</v>
      </c>
      <c r="K710" t="s">
        <v>2944</v>
      </c>
      <c r="L710" t="s">
        <v>30</v>
      </c>
      <c r="M710" t="s">
        <v>97</v>
      </c>
      <c r="N710" t="s">
        <v>2945</v>
      </c>
      <c r="O710" s="2">
        <v>16</v>
      </c>
      <c r="P710">
        <v>2</v>
      </c>
      <c r="Q710" s="3">
        <v>0</v>
      </c>
      <c r="R710" s="2">
        <v>2.04</v>
      </c>
      <c r="S710" s="2">
        <v>5.37</v>
      </c>
      <c r="T710" t="s">
        <v>68</v>
      </c>
      <c r="U710">
        <v>2014</v>
      </c>
    </row>
    <row r="711" spans="1:21" x14ac:dyDescent="0.3">
      <c r="A711" t="s">
        <v>2946</v>
      </c>
      <c r="B711" s="1">
        <v>41911</v>
      </c>
      <c r="C711" s="1">
        <v>41915</v>
      </c>
      <c r="D711" t="s">
        <v>22</v>
      </c>
      <c r="E711" t="s">
        <v>1707</v>
      </c>
      <c r="F711" t="s">
        <v>24</v>
      </c>
      <c r="G711" t="s">
        <v>204</v>
      </c>
      <c r="H711" t="s">
        <v>205</v>
      </c>
      <c r="I711" t="s">
        <v>49</v>
      </c>
      <c r="J711" t="s">
        <v>57</v>
      </c>
      <c r="K711" t="s">
        <v>2947</v>
      </c>
      <c r="L711" t="s">
        <v>146</v>
      </c>
      <c r="M711" t="s">
        <v>147</v>
      </c>
      <c r="N711" t="s">
        <v>2948</v>
      </c>
      <c r="O711" s="2">
        <v>261</v>
      </c>
      <c r="P711">
        <v>4</v>
      </c>
      <c r="Q711" s="3">
        <v>0</v>
      </c>
      <c r="R711" s="2">
        <v>99.36</v>
      </c>
      <c r="S711" s="2">
        <v>22.56</v>
      </c>
      <c r="T711" t="s">
        <v>99</v>
      </c>
      <c r="U711">
        <v>2014</v>
      </c>
    </row>
    <row r="712" spans="1:21" x14ac:dyDescent="0.3">
      <c r="A712" t="s">
        <v>2949</v>
      </c>
      <c r="B712" s="1">
        <v>41542</v>
      </c>
      <c r="C712" s="1">
        <v>41547</v>
      </c>
      <c r="D712" t="s">
        <v>22</v>
      </c>
      <c r="E712" t="s">
        <v>467</v>
      </c>
      <c r="F712" t="s">
        <v>24</v>
      </c>
      <c r="G712" t="s">
        <v>414</v>
      </c>
      <c r="H712" t="s">
        <v>414</v>
      </c>
      <c r="I712" t="s">
        <v>39</v>
      </c>
      <c r="J712" t="s">
        <v>57</v>
      </c>
      <c r="K712" t="s">
        <v>2950</v>
      </c>
      <c r="L712" t="s">
        <v>30</v>
      </c>
      <c r="M712" t="s">
        <v>97</v>
      </c>
      <c r="N712" t="s">
        <v>2951</v>
      </c>
      <c r="O712" s="2">
        <v>9</v>
      </c>
      <c r="P712">
        <v>2</v>
      </c>
      <c r="Q712" s="3">
        <v>0.4</v>
      </c>
      <c r="R712" s="2">
        <v>-1.232</v>
      </c>
      <c r="S712" s="2">
        <v>0.61</v>
      </c>
      <c r="T712" t="s">
        <v>33</v>
      </c>
      <c r="U712">
        <v>2013</v>
      </c>
    </row>
    <row r="713" spans="1:21" x14ac:dyDescent="0.3">
      <c r="A713" t="s">
        <v>2952</v>
      </c>
      <c r="B713" s="1">
        <v>41799</v>
      </c>
      <c r="C713" s="1">
        <v>41805</v>
      </c>
      <c r="D713" t="s">
        <v>22</v>
      </c>
      <c r="E713" t="s">
        <v>2953</v>
      </c>
      <c r="F713" t="s">
        <v>54</v>
      </c>
      <c r="G713" t="s">
        <v>1889</v>
      </c>
      <c r="H713" t="s">
        <v>844</v>
      </c>
      <c r="I713" t="s">
        <v>39</v>
      </c>
      <c r="J713" t="s">
        <v>57</v>
      </c>
      <c r="K713" t="s">
        <v>2944</v>
      </c>
      <c r="L713" t="s">
        <v>30</v>
      </c>
      <c r="M713" t="s">
        <v>97</v>
      </c>
      <c r="N713" t="s">
        <v>2945</v>
      </c>
      <c r="O713" s="2">
        <v>8</v>
      </c>
      <c r="P713">
        <v>1</v>
      </c>
      <c r="Q713" s="3">
        <v>0</v>
      </c>
      <c r="R713" s="2">
        <v>1.02</v>
      </c>
      <c r="S713" s="2">
        <v>0.31</v>
      </c>
      <c r="T713" t="s">
        <v>33</v>
      </c>
      <c r="U713">
        <v>2014</v>
      </c>
    </row>
    <row r="714" spans="1:21" x14ac:dyDescent="0.3">
      <c r="A714" t="s">
        <v>2954</v>
      </c>
      <c r="B714" s="1">
        <v>40809</v>
      </c>
      <c r="C714" s="1">
        <v>40814</v>
      </c>
      <c r="D714" t="s">
        <v>22</v>
      </c>
      <c r="E714" t="s">
        <v>2955</v>
      </c>
      <c r="F714" t="s">
        <v>36</v>
      </c>
      <c r="G714" t="s">
        <v>1044</v>
      </c>
      <c r="H714" t="s">
        <v>844</v>
      </c>
      <c r="I714" t="s">
        <v>39</v>
      </c>
      <c r="J714" t="s">
        <v>57</v>
      </c>
      <c r="K714" t="s">
        <v>2956</v>
      </c>
      <c r="L714" t="s">
        <v>30</v>
      </c>
      <c r="M714" t="s">
        <v>97</v>
      </c>
      <c r="N714" t="s">
        <v>629</v>
      </c>
      <c r="O714" s="2">
        <v>17</v>
      </c>
      <c r="P714">
        <v>2</v>
      </c>
      <c r="Q714" s="3">
        <v>0</v>
      </c>
      <c r="R714" s="2">
        <v>3.16</v>
      </c>
      <c r="S714" s="2">
        <v>1.21</v>
      </c>
      <c r="T714" t="s">
        <v>33</v>
      </c>
      <c r="U714">
        <v>2011</v>
      </c>
    </row>
    <row r="715" spans="1:21" x14ac:dyDescent="0.3">
      <c r="A715" t="s">
        <v>2957</v>
      </c>
      <c r="B715" s="1">
        <v>41909</v>
      </c>
      <c r="C715" s="1">
        <v>41915</v>
      </c>
      <c r="D715" t="s">
        <v>22</v>
      </c>
      <c r="E715" t="s">
        <v>1410</v>
      </c>
      <c r="F715" t="s">
        <v>54</v>
      </c>
      <c r="G715" t="s">
        <v>127</v>
      </c>
      <c r="H715" t="s">
        <v>128</v>
      </c>
      <c r="I715" t="s">
        <v>49</v>
      </c>
      <c r="J715" t="s">
        <v>129</v>
      </c>
      <c r="K715" t="s">
        <v>2958</v>
      </c>
      <c r="L715" t="s">
        <v>30</v>
      </c>
      <c r="M715" t="s">
        <v>75</v>
      </c>
      <c r="N715" t="s">
        <v>2959</v>
      </c>
      <c r="O715" s="2">
        <v>31</v>
      </c>
      <c r="P715">
        <v>5</v>
      </c>
      <c r="Q715" s="3">
        <v>0.5</v>
      </c>
      <c r="R715" s="2">
        <v>-7.35</v>
      </c>
      <c r="S715" s="2">
        <v>4.3099999999999996</v>
      </c>
      <c r="T715" t="s">
        <v>77</v>
      </c>
      <c r="U715">
        <v>2014</v>
      </c>
    </row>
    <row r="716" spans="1:21" x14ac:dyDescent="0.3">
      <c r="A716" t="s">
        <v>2960</v>
      </c>
      <c r="B716" s="1">
        <v>41897</v>
      </c>
      <c r="C716" s="1">
        <v>41902</v>
      </c>
      <c r="D716" t="s">
        <v>22</v>
      </c>
      <c r="E716" t="s">
        <v>222</v>
      </c>
      <c r="F716" t="s">
        <v>54</v>
      </c>
      <c r="G716" t="s">
        <v>2364</v>
      </c>
      <c r="H716" t="s">
        <v>2365</v>
      </c>
      <c r="I716" t="s">
        <v>27</v>
      </c>
      <c r="J716" t="s">
        <v>28</v>
      </c>
      <c r="K716" t="s">
        <v>2961</v>
      </c>
      <c r="L716" t="s">
        <v>30</v>
      </c>
      <c r="M716" t="s">
        <v>66</v>
      </c>
      <c r="N716" t="s">
        <v>2962</v>
      </c>
      <c r="O716" s="2">
        <v>85</v>
      </c>
      <c r="P716">
        <v>8</v>
      </c>
      <c r="Q716" s="3">
        <v>0.47</v>
      </c>
      <c r="R716" s="2">
        <v>-32.361600000000003</v>
      </c>
      <c r="S716" s="2">
        <v>3.54</v>
      </c>
      <c r="T716" t="s">
        <v>33</v>
      </c>
      <c r="U716">
        <v>2014</v>
      </c>
    </row>
    <row r="717" spans="1:21" x14ac:dyDescent="0.3">
      <c r="A717" t="s">
        <v>2963</v>
      </c>
      <c r="B717" s="1">
        <v>41403</v>
      </c>
      <c r="C717" s="1">
        <v>41405</v>
      </c>
      <c r="D717" t="s">
        <v>45</v>
      </c>
      <c r="E717" t="s">
        <v>228</v>
      </c>
      <c r="F717" t="s">
        <v>24</v>
      </c>
      <c r="G717" t="s">
        <v>662</v>
      </c>
      <c r="H717" t="s">
        <v>316</v>
      </c>
      <c r="I717" t="s">
        <v>27</v>
      </c>
      <c r="J717" t="s">
        <v>212</v>
      </c>
      <c r="K717" t="s">
        <v>2964</v>
      </c>
      <c r="L717" t="s">
        <v>30</v>
      </c>
      <c r="M717" t="s">
        <v>410</v>
      </c>
      <c r="N717" t="s">
        <v>2965</v>
      </c>
      <c r="O717" s="2">
        <v>15</v>
      </c>
      <c r="P717">
        <v>2</v>
      </c>
      <c r="Q717" s="3">
        <v>0.4</v>
      </c>
      <c r="R717" s="2">
        <v>-7.14</v>
      </c>
      <c r="S717" s="2">
        <v>3</v>
      </c>
      <c r="T717" t="s">
        <v>68</v>
      </c>
      <c r="U717">
        <v>2013</v>
      </c>
    </row>
    <row r="718" spans="1:21" x14ac:dyDescent="0.3">
      <c r="A718" t="s">
        <v>2966</v>
      </c>
      <c r="B718" s="1">
        <v>41617</v>
      </c>
      <c r="C718" s="1">
        <v>41623</v>
      </c>
      <c r="D718" t="s">
        <v>22</v>
      </c>
      <c r="E718" t="s">
        <v>1378</v>
      </c>
      <c r="F718" t="s">
        <v>54</v>
      </c>
      <c r="G718" t="s">
        <v>127</v>
      </c>
      <c r="H718" t="s">
        <v>128</v>
      </c>
      <c r="I718" t="s">
        <v>49</v>
      </c>
      <c r="J718" t="s">
        <v>129</v>
      </c>
      <c r="K718" t="s">
        <v>2967</v>
      </c>
      <c r="L718" t="s">
        <v>30</v>
      </c>
      <c r="M718" t="s">
        <v>31</v>
      </c>
      <c r="N718" t="s">
        <v>2968</v>
      </c>
      <c r="O718" s="2">
        <v>256</v>
      </c>
      <c r="P718">
        <v>5</v>
      </c>
      <c r="Q718" s="3">
        <v>0</v>
      </c>
      <c r="R718" s="2">
        <v>89.7</v>
      </c>
      <c r="S718" s="2">
        <v>26.26</v>
      </c>
      <c r="T718" t="s">
        <v>77</v>
      </c>
      <c r="U718">
        <v>2013</v>
      </c>
    </row>
    <row r="719" spans="1:21" x14ac:dyDescent="0.3">
      <c r="A719" t="s">
        <v>2969</v>
      </c>
      <c r="B719" s="1">
        <v>40803</v>
      </c>
      <c r="C719" s="1">
        <v>40808</v>
      </c>
      <c r="D719" t="s">
        <v>22</v>
      </c>
      <c r="E719" t="s">
        <v>2063</v>
      </c>
      <c r="F719" t="s">
        <v>54</v>
      </c>
      <c r="G719" t="s">
        <v>2384</v>
      </c>
      <c r="H719" t="s">
        <v>135</v>
      </c>
      <c r="I719" t="s">
        <v>136</v>
      </c>
      <c r="J719" t="s">
        <v>137</v>
      </c>
      <c r="K719" t="s">
        <v>590</v>
      </c>
      <c r="L719" t="s">
        <v>30</v>
      </c>
      <c r="M719" t="s">
        <v>90</v>
      </c>
      <c r="N719" t="s">
        <v>591</v>
      </c>
      <c r="O719" s="2">
        <v>5</v>
      </c>
      <c r="P719">
        <v>2</v>
      </c>
      <c r="Q719" s="3">
        <v>0.2</v>
      </c>
      <c r="R719" s="2">
        <v>0.4592</v>
      </c>
      <c r="S719" s="2">
        <v>0.24</v>
      </c>
      <c r="T719" t="s">
        <v>33</v>
      </c>
      <c r="U719">
        <v>2011</v>
      </c>
    </row>
    <row r="720" spans="1:21" x14ac:dyDescent="0.3">
      <c r="A720" t="s">
        <v>2970</v>
      </c>
      <c r="B720" s="1">
        <v>41899</v>
      </c>
      <c r="C720" s="1">
        <v>41902</v>
      </c>
      <c r="D720" t="s">
        <v>84</v>
      </c>
      <c r="E720" t="s">
        <v>1465</v>
      </c>
      <c r="F720" t="s">
        <v>24</v>
      </c>
      <c r="G720" t="s">
        <v>2971</v>
      </c>
      <c r="H720" t="s">
        <v>2972</v>
      </c>
      <c r="I720" t="s">
        <v>88</v>
      </c>
      <c r="J720" t="s">
        <v>88</v>
      </c>
      <c r="K720" t="s">
        <v>2973</v>
      </c>
      <c r="L720" t="s">
        <v>30</v>
      </c>
      <c r="M720" t="s">
        <v>31</v>
      </c>
      <c r="N720" t="s">
        <v>2974</v>
      </c>
      <c r="O720" s="2">
        <v>7</v>
      </c>
      <c r="P720">
        <v>1</v>
      </c>
      <c r="Q720" s="3">
        <v>0</v>
      </c>
      <c r="R720" s="2">
        <v>1.71</v>
      </c>
      <c r="S720" s="2">
        <v>0.72</v>
      </c>
      <c r="T720" t="s">
        <v>33</v>
      </c>
      <c r="U720">
        <v>2014</v>
      </c>
    </row>
    <row r="721" spans="1:21" x14ac:dyDescent="0.3">
      <c r="A721" t="s">
        <v>2975</v>
      </c>
      <c r="B721" s="1">
        <v>41342</v>
      </c>
      <c r="C721" s="1">
        <v>41346</v>
      </c>
      <c r="D721" t="s">
        <v>22</v>
      </c>
      <c r="E721" t="s">
        <v>2976</v>
      </c>
      <c r="F721" t="s">
        <v>36</v>
      </c>
      <c r="G721" t="s">
        <v>790</v>
      </c>
      <c r="H721" t="s">
        <v>791</v>
      </c>
      <c r="I721" t="s">
        <v>117</v>
      </c>
      <c r="J721" t="s">
        <v>117</v>
      </c>
      <c r="K721" t="s">
        <v>2977</v>
      </c>
      <c r="L721" t="s">
        <v>30</v>
      </c>
      <c r="M721" t="s">
        <v>410</v>
      </c>
      <c r="N721" t="s">
        <v>1272</v>
      </c>
      <c r="O721" s="2">
        <v>17</v>
      </c>
      <c r="P721">
        <v>1</v>
      </c>
      <c r="Q721" s="3">
        <v>0</v>
      </c>
      <c r="R721" s="2">
        <v>6.12</v>
      </c>
      <c r="S721" s="2">
        <v>1.93</v>
      </c>
      <c r="T721" t="s">
        <v>99</v>
      </c>
      <c r="U721">
        <v>2013</v>
      </c>
    </row>
    <row r="722" spans="1:21" x14ac:dyDescent="0.3">
      <c r="A722" t="s">
        <v>2978</v>
      </c>
      <c r="B722" s="1">
        <v>40801</v>
      </c>
      <c r="C722" s="1">
        <v>40805</v>
      </c>
      <c r="D722" t="s">
        <v>45</v>
      </c>
      <c r="E722" t="s">
        <v>2979</v>
      </c>
      <c r="F722" t="s">
        <v>54</v>
      </c>
      <c r="G722" t="s">
        <v>2980</v>
      </c>
      <c r="H722" t="s">
        <v>269</v>
      </c>
      <c r="I722" t="s">
        <v>88</v>
      </c>
      <c r="J722" t="s">
        <v>88</v>
      </c>
      <c r="K722" t="s">
        <v>2981</v>
      </c>
      <c r="L722" t="s">
        <v>146</v>
      </c>
      <c r="M722" t="s">
        <v>195</v>
      </c>
      <c r="N722" t="s">
        <v>2982</v>
      </c>
      <c r="O722" s="2">
        <v>40</v>
      </c>
      <c r="P722">
        <v>1</v>
      </c>
      <c r="Q722" s="3">
        <v>0</v>
      </c>
      <c r="R722" s="2">
        <v>2.37</v>
      </c>
      <c r="S722" s="2">
        <v>3.46</v>
      </c>
      <c r="T722" t="s">
        <v>33</v>
      </c>
      <c r="U722">
        <v>2011</v>
      </c>
    </row>
    <row r="723" spans="1:21" x14ac:dyDescent="0.3">
      <c r="A723" t="s">
        <v>2983</v>
      </c>
      <c r="B723" s="1">
        <v>41176</v>
      </c>
      <c r="C723" s="1">
        <v>41180</v>
      </c>
      <c r="D723" t="s">
        <v>22</v>
      </c>
      <c r="E723" t="s">
        <v>1566</v>
      </c>
      <c r="F723" t="s">
        <v>24</v>
      </c>
      <c r="G723" t="s">
        <v>134</v>
      </c>
      <c r="H723" t="s">
        <v>135</v>
      </c>
      <c r="I723" t="s">
        <v>136</v>
      </c>
      <c r="J723" t="s">
        <v>137</v>
      </c>
      <c r="K723" t="s">
        <v>2984</v>
      </c>
      <c r="L723" t="s">
        <v>30</v>
      </c>
      <c r="M723" t="s">
        <v>42</v>
      </c>
      <c r="N723" t="s">
        <v>2985</v>
      </c>
      <c r="O723" s="2">
        <v>1158</v>
      </c>
      <c r="P723">
        <v>4</v>
      </c>
      <c r="Q723" s="3">
        <v>0</v>
      </c>
      <c r="R723" s="2">
        <v>335.85480000000001</v>
      </c>
      <c r="S723" s="2">
        <v>56.16</v>
      </c>
      <c r="T723" t="s">
        <v>33</v>
      </c>
      <c r="U723">
        <v>2012</v>
      </c>
    </row>
    <row r="724" spans="1:21" x14ac:dyDescent="0.3">
      <c r="A724" t="s">
        <v>2986</v>
      </c>
      <c r="B724" s="1">
        <v>41536</v>
      </c>
      <c r="C724" s="1">
        <v>41540</v>
      </c>
      <c r="D724" t="s">
        <v>22</v>
      </c>
      <c r="E724" t="s">
        <v>2987</v>
      </c>
      <c r="F724" t="s">
        <v>24</v>
      </c>
      <c r="G724" t="s">
        <v>2988</v>
      </c>
      <c r="H724" t="s">
        <v>2989</v>
      </c>
      <c r="I724" t="s">
        <v>117</v>
      </c>
      <c r="J724" t="s">
        <v>117</v>
      </c>
      <c r="K724" t="s">
        <v>2990</v>
      </c>
      <c r="L724" t="s">
        <v>146</v>
      </c>
      <c r="M724" t="s">
        <v>195</v>
      </c>
      <c r="N724" t="s">
        <v>1445</v>
      </c>
      <c r="O724" s="2">
        <v>245</v>
      </c>
      <c r="P724">
        <v>2</v>
      </c>
      <c r="Q724" s="3">
        <v>0</v>
      </c>
      <c r="R724" s="2">
        <v>70.92</v>
      </c>
      <c r="S724" s="2">
        <v>18.34</v>
      </c>
      <c r="T724" t="s">
        <v>33</v>
      </c>
      <c r="U724">
        <v>2013</v>
      </c>
    </row>
    <row r="725" spans="1:21" x14ac:dyDescent="0.3">
      <c r="A725" t="s">
        <v>2991</v>
      </c>
      <c r="B725" s="1">
        <v>41903</v>
      </c>
      <c r="C725" s="1">
        <v>41908</v>
      </c>
      <c r="D725" t="s">
        <v>22</v>
      </c>
      <c r="E725" t="s">
        <v>2727</v>
      </c>
      <c r="F725" t="s">
        <v>24</v>
      </c>
      <c r="G725" t="s">
        <v>722</v>
      </c>
      <c r="H725" t="s">
        <v>723</v>
      </c>
      <c r="I725" t="s">
        <v>27</v>
      </c>
      <c r="J725" t="s">
        <v>28</v>
      </c>
      <c r="K725" t="s">
        <v>2992</v>
      </c>
      <c r="L725" t="s">
        <v>30</v>
      </c>
      <c r="M725" t="s">
        <v>90</v>
      </c>
      <c r="N725" t="s">
        <v>586</v>
      </c>
      <c r="O725" s="2">
        <v>30</v>
      </c>
      <c r="P725">
        <v>2</v>
      </c>
      <c r="Q725" s="3">
        <v>0.45</v>
      </c>
      <c r="R725" s="2">
        <v>2.6789999999999998</v>
      </c>
      <c r="S725" s="2">
        <v>1.99</v>
      </c>
      <c r="T725" t="s">
        <v>33</v>
      </c>
      <c r="U725">
        <v>2014</v>
      </c>
    </row>
    <row r="726" spans="1:21" x14ac:dyDescent="0.3">
      <c r="A726" t="s">
        <v>2993</v>
      </c>
      <c r="B726" s="1">
        <v>41907</v>
      </c>
      <c r="C726" s="1">
        <v>41911</v>
      </c>
      <c r="D726" t="s">
        <v>22</v>
      </c>
      <c r="E726" t="s">
        <v>478</v>
      </c>
      <c r="F726" t="s">
        <v>36</v>
      </c>
      <c r="G726" t="s">
        <v>1956</v>
      </c>
      <c r="H726" t="s">
        <v>1147</v>
      </c>
      <c r="I726" t="s">
        <v>39</v>
      </c>
      <c r="J726" t="s">
        <v>129</v>
      </c>
      <c r="K726" t="s">
        <v>2994</v>
      </c>
      <c r="L726" t="s">
        <v>59</v>
      </c>
      <c r="M726" t="s">
        <v>339</v>
      </c>
      <c r="N726" t="s">
        <v>2995</v>
      </c>
      <c r="O726" s="2">
        <v>151</v>
      </c>
      <c r="P726">
        <v>2</v>
      </c>
      <c r="Q726" s="3">
        <v>0.2</v>
      </c>
      <c r="R726" s="2">
        <v>-28.4</v>
      </c>
      <c r="S726" s="2">
        <v>8.5</v>
      </c>
      <c r="T726" t="s">
        <v>99</v>
      </c>
      <c r="U726">
        <v>2014</v>
      </c>
    </row>
    <row r="727" spans="1:21" x14ac:dyDescent="0.3">
      <c r="A727" t="s">
        <v>2996</v>
      </c>
      <c r="B727" s="1">
        <v>41907</v>
      </c>
      <c r="C727" s="1">
        <v>41910</v>
      </c>
      <c r="D727" t="s">
        <v>84</v>
      </c>
      <c r="E727" t="s">
        <v>2997</v>
      </c>
      <c r="F727" t="s">
        <v>24</v>
      </c>
      <c r="G727" t="s">
        <v>563</v>
      </c>
      <c r="H727" t="s">
        <v>564</v>
      </c>
      <c r="I727" t="s">
        <v>49</v>
      </c>
      <c r="J727" t="s">
        <v>57</v>
      </c>
      <c r="K727" t="s">
        <v>2998</v>
      </c>
      <c r="L727" t="s">
        <v>30</v>
      </c>
      <c r="M727" t="s">
        <v>66</v>
      </c>
      <c r="N727" t="s">
        <v>2999</v>
      </c>
      <c r="O727" s="2">
        <v>48</v>
      </c>
      <c r="P727">
        <v>4</v>
      </c>
      <c r="Q727" s="3">
        <v>0.5</v>
      </c>
      <c r="R727" s="2">
        <v>-36.479999999999997</v>
      </c>
      <c r="S727" s="2">
        <v>3.22</v>
      </c>
      <c r="T727" t="s">
        <v>33</v>
      </c>
      <c r="U727">
        <v>2014</v>
      </c>
    </row>
    <row r="728" spans="1:21" x14ac:dyDescent="0.3">
      <c r="A728" t="s">
        <v>3000</v>
      </c>
      <c r="B728" s="1">
        <v>40825</v>
      </c>
      <c r="C728" s="1">
        <v>40831</v>
      </c>
      <c r="D728" t="s">
        <v>22</v>
      </c>
      <c r="E728" t="s">
        <v>3001</v>
      </c>
      <c r="F728" t="s">
        <v>24</v>
      </c>
      <c r="G728" t="s">
        <v>257</v>
      </c>
      <c r="H728" t="s">
        <v>135</v>
      </c>
      <c r="I728" t="s">
        <v>136</v>
      </c>
      <c r="J728" t="s">
        <v>40</v>
      </c>
      <c r="K728" t="s">
        <v>3002</v>
      </c>
      <c r="L728" t="s">
        <v>30</v>
      </c>
      <c r="M728" t="s">
        <v>105</v>
      </c>
      <c r="N728" t="s">
        <v>3003</v>
      </c>
      <c r="O728" s="2">
        <v>89</v>
      </c>
      <c r="P728">
        <v>2</v>
      </c>
      <c r="Q728" s="3">
        <v>0.2</v>
      </c>
      <c r="R728" s="2">
        <v>31.0688</v>
      </c>
      <c r="S728" s="2">
        <v>5.24</v>
      </c>
      <c r="T728" t="s">
        <v>33</v>
      </c>
      <c r="U728">
        <v>2011</v>
      </c>
    </row>
    <row r="729" spans="1:21" x14ac:dyDescent="0.3">
      <c r="A729" t="s">
        <v>3004</v>
      </c>
      <c r="B729" s="1">
        <v>41908</v>
      </c>
      <c r="C729" s="1">
        <v>41912</v>
      </c>
      <c r="D729" t="s">
        <v>45</v>
      </c>
      <c r="E729" t="s">
        <v>3005</v>
      </c>
      <c r="F729" t="s">
        <v>54</v>
      </c>
      <c r="G729" t="s">
        <v>1210</v>
      </c>
      <c r="H729" t="s">
        <v>1147</v>
      </c>
      <c r="I729" t="s">
        <v>39</v>
      </c>
      <c r="J729" t="s">
        <v>129</v>
      </c>
      <c r="K729" t="s">
        <v>3006</v>
      </c>
      <c r="L729" t="s">
        <v>30</v>
      </c>
      <c r="M729" t="s">
        <v>90</v>
      </c>
      <c r="N729" t="s">
        <v>3007</v>
      </c>
      <c r="O729" s="2">
        <v>26</v>
      </c>
      <c r="P729">
        <v>2</v>
      </c>
      <c r="Q729" s="3">
        <v>0</v>
      </c>
      <c r="R729" s="2">
        <v>2.6</v>
      </c>
      <c r="S729" s="2">
        <v>2.21</v>
      </c>
      <c r="T729" t="s">
        <v>33</v>
      </c>
      <c r="U729">
        <v>2014</v>
      </c>
    </row>
    <row r="730" spans="1:21" x14ac:dyDescent="0.3">
      <c r="A730" t="s">
        <v>3008</v>
      </c>
      <c r="B730" s="1">
        <v>41542</v>
      </c>
      <c r="C730" s="1">
        <v>41549</v>
      </c>
      <c r="D730" t="s">
        <v>22</v>
      </c>
      <c r="E730" t="s">
        <v>3009</v>
      </c>
      <c r="F730" t="s">
        <v>36</v>
      </c>
      <c r="G730" t="s">
        <v>193</v>
      </c>
      <c r="H730" t="s">
        <v>152</v>
      </c>
      <c r="I730" t="s">
        <v>27</v>
      </c>
      <c r="J730" t="s">
        <v>153</v>
      </c>
      <c r="K730" t="s">
        <v>3010</v>
      </c>
      <c r="L730" t="s">
        <v>59</v>
      </c>
      <c r="M730" t="s">
        <v>139</v>
      </c>
      <c r="N730" t="s">
        <v>2176</v>
      </c>
      <c r="O730" s="2">
        <v>457</v>
      </c>
      <c r="P730">
        <v>1</v>
      </c>
      <c r="Q730" s="3">
        <v>0</v>
      </c>
      <c r="R730" s="2">
        <v>45.69</v>
      </c>
      <c r="S730" s="2">
        <v>54.36</v>
      </c>
      <c r="T730" t="s">
        <v>77</v>
      </c>
      <c r="U730">
        <v>2013</v>
      </c>
    </row>
    <row r="731" spans="1:21" x14ac:dyDescent="0.3">
      <c r="A731" t="s">
        <v>3011</v>
      </c>
      <c r="B731" s="1">
        <v>41738</v>
      </c>
      <c r="C731" s="1">
        <v>41742</v>
      </c>
      <c r="D731" t="s">
        <v>22</v>
      </c>
      <c r="E731" t="s">
        <v>1181</v>
      </c>
      <c r="F731" t="s">
        <v>54</v>
      </c>
      <c r="G731" t="s">
        <v>37</v>
      </c>
      <c r="H731" t="s">
        <v>38</v>
      </c>
      <c r="I731" t="s">
        <v>39</v>
      </c>
      <c r="J731" t="s">
        <v>40</v>
      </c>
      <c r="K731" t="s">
        <v>3012</v>
      </c>
      <c r="L731" t="s">
        <v>30</v>
      </c>
      <c r="M731" t="s">
        <v>90</v>
      </c>
      <c r="N731" t="s">
        <v>943</v>
      </c>
      <c r="O731" s="2">
        <v>68</v>
      </c>
      <c r="P731">
        <v>4</v>
      </c>
      <c r="Q731" s="3">
        <v>0</v>
      </c>
      <c r="R731" s="2">
        <v>17.52</v>
      </c>
      <c r="S731" s="2">
        <v>4.58</v>
      </c>
      <c r="T731" t="s">
        <v>33</v>
      </c>
      <c r="U731">
        <v>2014</v>
      </c>
    </row>
    <row r="732" spans="1:21" x14ac:dyDescent="0.3">
      <c r="A732" t="s">
        <v>3013</v>
      </c>
      <c r="B732" s="1">
        <v>41906</v>
      </c>
      <c r="C732" s="1">
        <v>41911</v>
      </c>
      <c r="D732" t="s">
        <v>22</v>
      </c>
      <c r="E732" t="s">
        <v>3014</v>
      </c>
      <c r="F732" t="s">
        <v>24</v>
      </c>
      <c r="G732" t="s">
        <v>3015</v>
      </c>
      <c r="H732" t="s">
        <v>1147</v>
      </c>
      <c r="I732" t="s">
        <v>39</v>
      </c>
      <c r="J732" t="s">
        <v>129</v>
      </c>
      <c r="K732" t="s">
        <v>3016</v>
      </c>
      <c r="L732" t="s">
        <v>30</v>
      </c>
      <c r="M732" t="s">
        <v>42</v>
      </c>
      <c r="N732" t="s">
        <v>3017</v>
      </c>
      <c r="O732" s="2">
        <v>668</v>
      </c>
      <c r="P732">
        <v>2</v>
      </c>
      <c r="Q732" s="3">
        <v>0</v>
      </c>
      <c r="R732" s="2">
        <v>287.16000000000003</v>
      </c>
      <c r="S732" s="2">
        <v>34.840000000000003</v>
      </c>
      <c r="T732" t="s">
        <v>33</v>
      </c>
      <c r="U732">
        <v>2014</v>
      </c>
    </row>
    <row r="733" spans="1:21" x14ac:dyDescent="0.3">
      <c r="A733" t="s">
        <v>3018</v>
      </c>
      <c r="B733" s="1">
        <v>41161</v>
      </c>
      <c r="C733" s="1">
        <v>41166</v>
      </c>
      <c r="D733" t="s">
        <v>22</v>
      </c>
      <c r="E733" t="s">
        <v>3019</v>
      </c>
      <c r="F733" t="s">
        <v>24</v>
      </c>
      <c r="G733" t="s">
        <v>2665</v>
      </c>
      <c r="H733" t="s">
        <v>56</v>
      </c>
      <c r="I733" t="s">
        <v>49</v>
      </c>
      <c r="J733" t="s">
        <v>57</v>
      </c>
      <c r="K733" t="s">
        <v>3020</v>
      </c>
      <c r="L733" t="s">
        <v>30</v>
      </c>
      <c r="M733" t="s">
        <v>42</v>
      </c>
      <c r="N733" t="s">
        <v>3021</v>
      </c>
      <c r="O733" s="2">
        <v>505</v>
      </c>
      <c r="P733">
        <v>1</v>
      </c>
      <c r="Q733" s="3">
        <v>0.1</v>
      </c>
      <c r="R733" s="2">
        <v>44.915999999999997</v>
      </c>
      <c r="S733" s="2">
        <v>31.58</v>
      </c>
      <c r="T733" t="s">
        <v>33</v>
      </c>
      <c r="U733">
        <v>2012</v>
      </c>
    </row>
    <row r="734" spans="1:21" x14ac:dyDescent="0.3">
      <c r="A734" t="s">
        <v>3022</v>
      </c>
      <c r="B734" s="1">
        <v>41891</v>
      </c>
      <c r="C734" s="1">
        <v>41894</v>
      </c>
      <c r="D734" t="s">
        <v>84</v>
      </c>
      <c r="E734" t="s">
        <v>3023</v>
      </c>
      <c r="F734" t="s">
        <v>24</v>
      </c>
      <c r="G734" t="s">
        <v>2734</v>
      </c>
      <c r="H734" t="s">
        <v>524</v>
      </c>
      <c r="I734" t="s">
        <v>39</v>
      </c>
      <c r="J734" t="s">
        <v>40</v>
      </c>
      <c r="K734" t="s">
        <v>3024</v>
      </c>
      <c r="L734" t="s">
        <v>30</v>
      </c>
      <c r="M734" t="s">
        <v>66</v>
      </c>
      <c r="N734" t="s">
        <v>1794</v>
      </c>
      <c r="O734" s="2">
        <v>77</v>
      </c>
      <c r="P734">
        <v>4</v>
      </c>
      <c r="Q734" s="3">
        <v>0.4</v>
      </c>
      <c r="R734" s="2">
        <v>8.9920000000000009</v>
      </c>
      <c r="S734" s="2">
        <v>11.29</v>
      </c>
      <c r="T734" t="s">
        <v>99</v>
      </c>
      <c r="U734">
        <v>2014</v>
      </c>
    </row>
    <row r="735" spans="1:21" x14ac:dyDescent="0.3">
      <c r="A735" t="s">
        <v>3025</v>
      </c>
      <c r="B735" s="1">
        <v>41900</v>
      </c>
      <c r="C735" s="1">
        <v>41900</v>
      </c>
      <c r="D735" t="s">
        <v>232</v>
      </c>
      <c r="E735" t="s">
        <v>1599</v>
      </c>
      <c r="F735" t="s">
        <v>54</v>
      </c>
      <c r="G735" t="s">
        <v>3026</v>
      </c>
      <c r="H735" t="s">
        <v>3027</v>
      </c>
      <c r="I735" t="s">
        <v>39</v>
      </c>
      <c r="J735" t="s">
        <v>40</v>
      </c>
      <c r="K735" t="s">
        <v>1392</v>
      </c>
      <c r="L735" t="s">
        <v>59</v>
      </c>
      <c r="M735" t="s">
        <v>60</v>
      </c>
      <c r="N735" t="s">
        <v>1393</v>
      </c>
      <c r="O735" s="2">
        <v>50</v>
      </c>
      <c r="P735">
        <v>3</v>
      </c>
      <c r="Q735" s="3">
        <v>0</v>
      </c>
      <c r="R735" s="2">
        <v>14.58</v>
      </c>
      <c r="S735" s="2">
        <v>17.61</v>
      </c>
      <c r="T735" t="s">
        <v>68</v>
      </c>
      <c r="U735">
        <v>2014</v>
      </c>
    </row>
    <row r="736" spans="1:21" x14ac:dyDescent="0.3">
      <c r="A736" t="s">
        <v>3028</v>
      </c>
      <c r="B736" s="1">
        <v>41174</v>
      </c>
      <c r="C736" s="1">
        <v>41176</v>
      </c>
      <c r="D736" t="s">
        <v>84</v>
      </c>
      <c r="E736" t="s">
        <v>3029</v>
      </c>
      <c r="F736" t="s">
        <v>24</v>
      </c>
      <c r="G736" t="s">
        <v>3030</v>
      </c>
      <c r="H736" t="s">
        <v>564</v>
      </c>
      <c r="I736" t="s">
        <v>49</v>
      </c>
      <c r="J736" t="s">
        <v>57</v>
      </c>
      <c r="K736" t="s">
        <v>3031</v>
      </c>
      <c r="L736" t="s">
        <v>146</v>
      </c>
      <c r="M736" t="s">
        <v>347</v>
      </c>
      <c r="N736" t="s">
        <v>3032</v>
      </c>
      <c r="O736" s="2">
        <v>189</v>
      </c>
      <c r="P736">
        <v>1</v>
      </c>
      <c r="Q736" s="3">
        <v>0.5</v>
      </c>
      <c r="R736" s="2">
        <v>-155.17500000000001</v>
      </c>
      <c r="S736" s="2">
        <v>42.15</v>
      </c>
      <c r="T736" t="s">
        <v>99</v>
      </c>
      <c r="U736">
        <v>2012</v>
      </c>
    </row>
    <row r="737" spans="1:21" x14ac:dyDescent="0.3">
      <c r="A737" t="s">
        <v>3033</v>
      </c>
      <c r="B737" s="1">
        <v>41908</v>
      </c>
      <c r="C737" s="1">
        <v>41911</v>
      </c>
      <c r="D737" t="s">
        <v>84</v>
      </c>
      <c r="E737" t="s">
        <v>1686</v>
      </c>
      <c r="F737" t="s">
        <v>24</v>
      </c>
      <c r="G737" t="s">
        <v>574</v>
      </c>
      <c r="H737" t="s">
        <v>135</v>
      </c>
      <c r="I737" t="s">
        <v>136</v>
      </c>
      <c r="J737" t="s">
        <v>396</v>
      </c>
      <c r="K737" t="s">
        <v>3034</v>
      </c>
      <c r="L737" t="s">
        <v>30</v>
      </c>
      <c r="M737" t="s">
        <v>31</v>
      </c>
      <c r="N737" t="s">
        <v>3035</v>
      </c>
      <c r="O737" s="2">
        <v>9</v>
      </c>
      <c r="P737">
        <v>5</v>
      </c>
      <c r="Q737" s="3">
        <v>0.7</v>
      </c>
      <c r="R737" s="2">
        <v>-6.3029999999999999</v>
      </c>
      <c r="S737" s="2">
        <v>1.37</v>
      </c>
      <c r="T737" t="s">
        <v>33</v>
      </c>
      <c r="U737">
        <v>2014</v>
      </c>
    </row>
    <row r="738" spans="1:21" x14ac:dyDescent="0.3">
      <c r="A738" t="s">
        <v>3036</v>
      </c>
      <c r="B738" s="1">
        <v>41173</v>
      </c>
      <c r="C738" s="1">
        <v>41176</v>
      </c>
      <c r="D738" t="s">
        <v>45</v>
      </c>
      <c r="E738" t="s">
        <v>458</v>
      </c>
      <c r="F738" t="s">
        <v>24</v>
      </c>
      <c r="G738" t="s">
        <v>428</v>
      </c>
      <c r="H738" t="s">
        <v>429</v>
      </c>
      <c r="I738" t="s">
        <v>117</v>
      </c>
      <c r="J738" t="s">
        <v>117</v>
      </c>
      <c r="K738" t="s">
        <v>3037</v>
      </c>
      <c r="L738" t="s">
        <v>146</v>
      </c>
      <c r="M738" t="s">
        <v>147</v>
      </c>
      <c r="N738" t="s">
        <v>3038</v>
      </c>
      <c r="O738" s="2">
        <v>140</v>
      </c>
      <c r="P738">
        <v>1</v>
      </c>
      <c r="Q738" s="3">
        <v>0</v>
      </c>
      <c r="R738" s="2">
        <v>47.52</v>
      </c>
      <c r="S738" s="2">
        <v>13.29</v>
      </c>
      <c r="T738" t="s">
        <v>33</v>
      </c>
      <c r="U738">
        <v>2012</v>
      </c>
    </row>
    <row r="739" spans="1:21" x14ac:dyDescent="0.3">
      <c r="A739" t="s">
        <v>3039</v>
      </c>
      <c r="B739" s="1">
        <v>41542</v>
      </c>
      <c r="C739" s="1">
        <v>41544</v>
      </c>
      <c r="D739" t="s">
        <v>45</v>
      </c>
      <c r="E739" t="s">
        <v>3040</v>
      </c>
      <c r="F739" t="s">
        <v>54</v>
      </c>
      <c r="G739" t="s">
        <v>2286</v>
      </c>
      <c r="H739" t="s">
        <v>564</v>
      </c>
      <c r="I739" t="s">
        <v>49</v>
      </c>
      <c r="J739" t="s">
        <v>57</v>
      </c>
      <c r="K739" t="s">
        <v>3041</v>
      </c>
      <c r="L739" t="s">
        <v>30</v>
      </c>
      <c r="M739" t="s">
        <v>90</v>
      </c>
      <c r="N739" t="s">
        <v>1154</v>
      </c>
      <c r="O739" s="2">
        <v>15</v>
      </c>
      <c r="P739">
        <v>2</v>
      </c>
      <c r="Q739" s="3">
        <v>0.5</v>
      </c>
      <c r="R739" s="2">
        <v>-10.26</v>
      </c>
      <c r="S739" s="2">
        <v>0.78</v>
      </c>
      <c r="T739" t="s">
        <v>33</v>
      </c>
      <c r="U739">
        <v>2013</v>
      </c>
    </row>
    <row r="740" spans="1:21" x14ac:dyDescent="0.3">
      <c r="A740" t="s">
        <v>3042</v>
      </c>
      <c r="B740" s="1">
        <v>41170</v>
      </c>
      <c r="C740" s="1">
        <v>41175</v>
      </c>
      <c r="D740" t="s">
        <v>22</v>
      </c>
      <c r="E740" t="s">
        <v>3043</v>
      </c>
      <c r="F740" t="s">
        <v>54</v>
      </c>
      <c r="G740" t="s">
        <v>3044</v>
      </c>
      <c r="H740" t="s">
        <v>801</v>
      </c>
      <c r="I740" t="s">
        <v>117</v>
      </c>
      <c r="J740" t="s">
        <v>117</v>
      </c>
      <c r="K740" t="s">
        <v>3045</v>
      </c>
      <c r="L740" t="s">
        <v>30</v>
      </c>
      <c r="M740" t="s">
        <v>31</v>
      </c>
      <c r="N740" t="s">
        <v>695</v>
      </c>
      <c r="O740" s="2">
        <v>27</v>
      </c>
      <c r="P740">
        <v>1</v>
      </c>
      <c r="Q740" s="3">
        <v>0</v>
      </c>
      <c r="R740" s="2">
        <v>7.68</v>
      </c>
      <c r="S740" s="2">
        <v>1.85</v>
      </c>
      <c r="T740" t="s">
        <v>33</v>
      </c>
      <c r="U740">
        <v>2012</v>
      </c>
    </row>
    <row r="741" spans="1:21" x14ac:dyDescent="0.3">
      <c r="A741" t="s">
        <v>3046</v>
      </c>
      <c r="B741" s="1">
        <v>41170</v>
      </c>
      <c r="C741" s="1">
        <v>41173</v>
      </c>
      <c r="D741" t="s">
        <v>45</v>
      </c>
      <c r="E741" t="s">
        <v>2423</v>
      </c>
      <c r="F741" t="s">
        <v>54</v>
      </c>
      <c r="G741" t="s">
        <v>25</v>
      </c>
      <c r="H741" t="s">
        <v>26</v>
      </c>
      <c r="I741" t="s">
        <v>27</v>
      </c>
      <c r="J741" t="s">
        <v>28</v>
      </c>
      <c r="K741" t="s">
        <v>3047</v>
      </c>
      <c r="L741" t="s">
        <v>30</v>
      </c>
      <c r="M741" t="s">
        <v>42</v>
      </c>
      <c r="N741" t="s">
        <v>3048</v>
      </c>
      <c r="O741" s="2">
        <v>2488</v>
      </c>
      <c r="P741">
        <v>6</v>
      </c>
      <c r="Q741" s="3">
        <v>0.17</v>
      </c>
      <c r="R741" s="2">
        <v>-269.7912</v>
      </c>
      <c r="S741" s="2">
        <v>562.14</v>
      </c>
      <c r="T741" t="s">
        <v>68</v>
      </c>
      <c r="U741">
        <v>2012</v>
      </c>
    </row>
    <row r="742" spans="1:21" x14ac:dyDescent="0.3">
      <c r="A742" t="s">
        <v>3049</v>
      </c>
      <c r="B742" s="1">
        <v>41537</v>
      </c>
      <c r="C742" s="1">
        <v>41541</v>
      </c>
      <c r="D742" t="s">
        <v>22</v>
      </c>
      <c r="E742" t="s">
        <v>1395</v>
      </c>
      <c r="F742" t="s">
        <v>24</v>
      </c>
      <c r="G742" t="s">
        <v>134</v>
      </c>
      <c r="H742" t="s">
        <v>135</v>
      </c>
      <c r="I742" t="s">
        <v>136</v>
      </c>
      <c r="J742" t="s">
        <v>137</v>
      </c>
      <c r="K742" t="s">
        <v>3050</v>
      </c>
      <c r="L742" t="s">
        <v>30</v>
      </c>
      <c r="M742" t="s">
        <v>31</v>
      </c>
      <c r="N742" t="s">
        <v>3051</v>
      </c>
      <c r="O742" s="2">
        <v>9</v>
      </c>
      <c r="P742">
        <v>2</v>
      </c>
      <c r="Q742" s="3">
        <v>0.2</v>
      </c>
      <c r="R742" s="2">
        <v>3.1248</v>
      </c>
      <c r="S742" s="2">
        <v>0.7</v>
      </c>
      <c r="T742" t="s">
        <v>33</v>
      </c>
      <c r="U742">
        <v>2013</v>
      </c>
    </row>
    <row r="743" spans="1:21" x14ac:dyDescent="0.3">
      <c r="A743" t="s">
        <v>3052</v>
      </c>
      <c r="B743" s="1">
        <v>41908</v>
      </c>
      <c r="C743" s="1">
        <v>41914</v>
      </c>
      <c r="D743" t="s">
        <v>22</v>
      </c>
      <c r="E743" t="s">
        <v>552</v>
      </c>
      <c r="F743" t="s">
        <v>54</v>
      </c>
      <c r="G743" t="s">
        <v>3053</v>
      </c>
      <c r="H743" t="s">
        <v>1034</v>
      </c>
      <c r="I743" t="s">
        <v>88</v>
      </c>
      <c r="J743" t="s">
        <v>88</v>
      </c>
      <c r="K743" t="s">
        <v>1948</v>
      </c>
      <c r="L743" t="s">
        <v>30</v>
      </c>
      <c r="M743" t="s">
        <v>31</v>
      </c>
      <c r="N743" t="s">
        <v>1949</v>
      </c>
      <c r="O743" s="2">
        <v>12</v>
      </c>
      <c r="P743">
        <v>2</v>
      </c>
      <c r="Q743" s="3">
        <v>0</v>
      </c>
      <c r="R743" s="2">
        <v>3.12</v>
      </c>
      <c r="S743" s="2">
        <v>0.94</v>
      </c>
      <c r="T743" t="s">
        <v>33</v>
      </c>
      <c r="U743">
        <v>2014</v>
      </c>
    </row>
    <row r="744" spans="1:21" x14ac:dyDescent="0.3">
      <c r="A744" t="s">
        <v>3054</v>
      </c>
      <c r="B744" s="1">
        <v>41173</v>
      </c>
      <c r="C744" s="1">
        <v>41175</v>
      </c>
      <c r="D744" t="s">
        <v>84</v>
      </c>
      <c r="E744" t="s">
        <v>1218</v>
      </c>
      <c r="F744" t="s">
        <v>36</v>
      </c>
      <c r="G744" t="s">
        <v>134</v>
      </c>
      <c r="H744" t="s">
        <v>135</v>
      </c>
      <c r="I744" t="s">
        <v>136</v>
      </c>
      <c r="J744" t="s">
        <v>137</v>
      </c>
      <c r="K744" t="s">
        <v>3055</v>
      </c>
      <c r="L744" t="s">
        <v>59</v>
      </c>
      <c r="M744" t="s">
        <v>139</v>
      </c>
      <c r="N744" t="s">
        <v>3056</v>
      </c>
      <c r="O744" s="2">
        <v>602</v>
      </c>
      <c r="P744">
        <v>4</v>
      </c>
      <c r="Q744" s="3">
        <v>0.2</v>
      </c>
      <c r="R744" s="2">
        <v>0</v>
      </c>
      <c r="S744" s="2">
        <v>27.14</v>
      </c>
      <c r="T744" t="s">
        <v>99</v>
      </c>
      <c r="U744">
        <v>2012</v>
      </c>
    </row>
    <row r="745" spans="1:21" x14ac:dyDescent="0.3">
      <c r="A745" t="s">
        <v>3057</v>
      </c>
      <c r="B745" s="1">
        <v>41403</v>
      </c>
      <c r="C745" s="1">
        <v>41407</v>
      </c>
      <c r="D745" t="s">
        <v>22</v>
      </c>
      <c r="E745" t="s">
        <v>79</v>
      </c>
      <c r="F745" t="s">
        <v>54</v>
      </c>
      <c r="G745" t="s">
        <v>3058</v>
      </c>
      <c r="H745" t="s">
        <v>1177</v>
      </c>
      <c r="I745" t="s">
        <v>27</v>
      </c>
      <c r="J745" t="s">
        <v>28</v>
      </c>
      <c r="K745" t="s">
        <v>3059</v>
      </c>
      <c r="L745" t="s">
        <v>30</v>
      </c>
      <c r="M745" t="s">
        <v>75</v>
      </c>
      <c r="N745" t="s">
        <v>3060</v>
      </c>
      <c r="O745" s="2">
        <v>14</v>
      </c>
      <c r="P745">
        <v>4</v>
      </c>
      <c r="Q745" s="3">
        <v>0.17</v>
      </c>
      <c r="R745" s="2">
        <v>0.88439999999999996</v>
      </c>
      <c r="S745" s="2">
        <v>1.2</v>
      </c>
      <c r="T745" t="s">
        <v>33</v>
      </c>
      <c r="U745">
        <v>2013</v>
      </c>
    </row>
    <row r="746" spans="1:21" x14ac:dyDescent="0.3">
      <c r="A746" t="s">
        <v>3061</v>
      </c>
      <c r="B746" s="1">
        <v>41464</v>
      </c>
      <c r="C746" s="1">
        <v>41466</v>
      </c>
      <c r="D746" t="s">
        <v>45</v>
      </c>
      <c r="E746" t="s">
        <v>326</v>
      </c>
      <c r="F746" t="s">
        <v>24</v>
      </c>
      <c r="G746" t="s">
        <v>569</v>
      </c>
      <c r="H746" t="s">
        <v>135</v>
      </c>
      <c r="I746" t="s">
        <v>136</v>
      </c>
      <c r="J746" t="s">
        <v>57</v>
      </c>
      <c r="K746" t="s">
        <v>3062</v>
      </c>
      <c r="L746" t="s">
        <v>30</v>
      </c>
      <c r="M746" t="s">
        <v>90</v>
      </c>
      <c r="N746" t="s">
        <v>3063</v>
      </c>
      <c r="O746" s="2">
        <v>48</v>
      </c>
      <c r="P746">
        <v>3</v>
      </c>
      <c r="Q746" s="3">
        <v>0.2</v>
      </c>
      <c r="R746" s="2">
        <v>3.5712000000000002</v>
      </c>
      <c r="S746" s="2">
        <v>3.7</v>
      </c>
      <c r="T746" t="s">
        <v>33</v>
      </c>
      <c r="U746">
        <v>2013</v>
      </c>
    </row>
    <row r="747" spans="1:21" x14ac:dyDescent="0.3">
      <c r="A747" t="s">
        <v>3064</v>
      </c>
      <c r="B747" s="1">
        <v>41544</v>
      </c>
      <c r="C747" s="1">
        <v>41549</v>
      </c>
      <c r="D747" t="s">
        <v>22</v>
      </c>
      <c r="E747" t="s">
        <v>687</v>
      </c>
      <c r="F747" t="s">
        <v>54</v>
      </c>
      <c r="G747" t="s">
        <v>2581</v>
      </c>
      <c r="H747" t="s">
        <v>152</v>
      </c>
      <c r="I747" t="s">
        <v>27</v>
      </c>
      <c r="J747" t="s">
        <v>153</v>
      </c>
      <c r="K747" t="s">
        <v>3065</v>
      </c>
      <c r="L747" t="s">
        <v>30</v>
      </c>
      <c r="M747" t="s">
        <v>97</v>
      </c>
      <c r="N747" t="s">
        <v>3066</v>
      </c>
      <c r="O747" s="2">
        <v>73</v>
      </c>
      <c r="P747">
        <v>5</v>
      </c>
      <c r="Q747" s="3">
        <v>0</v>
      </c>
      <c r="R747" s="2">
        <v>28.5</v>
      </c>
      <c r="S747" s="2">
        <v>2.66</v>
      </c>
      <c r="T747" t="s">
        <v>33</v>
      </c>
      <c r="U747">
        <v>2013</v>
      </c>
    </row>
    <row r="748" spans="1:21" x14ac:dyDescent="0.3">
      <c r="A748" t="s">
        <v>3067</v>
      </c>
      <c r="B748" s="1">
        <v>41495</v>
      </c>
      <c r="C748" s="1">
        <v>41501</v>
      </c>
      <c r="D748" t="s">
        <v>22</v>
      </c>
      <c r="E748" t="s">
        <v>3068</v>
      </c>
      <c r="F748" t="s">
        <v>54</v>
      </c>
      <c r="G748" t="s">
        <v>2072</v>
      </c>
      <c r="H748" t="s">
        <v>135</v>
      </c>
      <c r="I748" t="s">
        <v>136</v>
      </c>
      <c r="J748" t="s">
        <v>57</v>
      </c>
      <c r="K748" t="s">
        <v>3069</v>
      </c>
      <c r="L748" t="s">
        <v>30</v>
      </c>
      <c r="M748" t="s">
        <v>105</v>
      </c>
      <c r="N748" t="s">
        <v>3070</v>
      </c>
      <c r="O748" s="2">
        <v>11</v>
      </c>
      <c r="P748">
        <v>2</v>
      </c>
      <c r="Q748" s="3">
        <v>0</v>
      </c>
      <c r="R748" s="2">
        <v>4.7519999999999998</v>
      </c>
      <c r="S748" s="2">
        <v>1.1399999999999999</v>
      </c>
      <c r="T748" t="s">
        <v>33</v>
      </c>
      <c r="U748">
        <v>2013</v>
      </c>
    </row>
    <row r="749" spans="1:21" x14ac:dyDescent="0.3">
      <c r="A749" t="s">
        <v>3071</v>
      </c>
      <c r="B749" s="1">
        <v>41177</v>
      </c>
      <c r="C749" s="1">
        <v>41179</v>
      </c>
      <c r="D749" t="s">
        <v>84</v>
      </c>
      <c r="E749" t="s">
        <v>3072</v>
      </c>
      <c r="F749" t="s">
        <v>24</v>
      </c>
      <c r="G749" t="s">
        <v>2765</v>
      </c>
      <c r="H749" t="s">
        <v>637</v>
      </c>
      <c r="I749" t="s">
        <v>88</v>
      </c>
      <c r="J749" t="s">
        <v>88</v>
      </c>
      <c r="K749" t="s">
        <v>3073</v>
      </c>
      <c r="L749" t="s">
        <v>30</v>
      </c>
      <c r="M749" t="s">
        <v>90</v>
      </c>
      <c r="N749" t="s">
        <v>181</v>
      </c>
      <c r="O749" s="2">
        <v>93</v>
      </c>
      <c r="P749">
        <v>2</v>
      </c>
      <c r="Q749" s="3">
        <v>0</v>
      </c>
      <c r="R749" s="2">
        <v>43.92</v>
      </c>
      <c r="S749" s="2">
        <v>14.29</v>
      </c>
      <c r="T749" t="s">
        <v>33</v>
      </c>
      <c r="U749">
        <v>2012</v>
      </c>
    </row>
    <row r="750" spans="1:21" x14ac:dyDescent="0.3">
      <c r="A750" t="s">
        <v>3074</v>
      </c>
      <c r="B750" s="1">
        <v>40583</v>
      </c>
      <c r="C750" s="1">
        <v>40589</v>
      </c>
      <c r="D750" t="s">
        <v>22</v>
      </c>
      <c r="E750" t="s">
        <v>879</v>
      </c>
      <c r="F750" t="s">
        <v>36</v>
      </c>
      <c r="G750" t="s">
        <v>3075</v>
      </c>
      <c r="H750" t="s">
        <v>2807</v>
      </c>
      <c r="I750" t="s">
        <v>27</v>
      </c>
      <c r="J750" t="s">
        <v>153</v>
      </c>
      <c r="K750" t="s">
        <v>3076</v>
      </c>
      <c r="L750" t="s">
        <v>30</v>
      </c>
      <c r="M750" t="s">
        <v>31</v>
      </c>
      <c r="N750" t="s">
        <v>3077</v>
      </c>
      <c r="O750" s="2">
        <v>26</v>
      </c>
      <c r="P750">
        <v>1</v>
      </c>
      <c r="Q750" s="3">
        <v>0.5</v>
      </c>
      <c r="R750" s="2">
        <v>-11.835000000000001</v>
      </c>
      <c r="S750" s="2">
        <v>1.27</v>
      </c>
      <c r="T750" t="s">
        <v>33</v>
      </c>
      <c r="U750">
        <v>2011</v>
      </c>
    </row>
    <row r="751" spans="1:21" x14ac:dyDescent="0.3">
      <c r="A751" t="s">
        <v>3078</v>
      </c>
      <c r="B751" s="1">
        <v>41899</v>
      </c>
      <c r="C751" s="1">
        <v>41899</v>
      </c>
      <c r="D751" t="s">
        <v>232</v>
      </c>
      <c r="E751" t="s">
        <v>1540</v>
      </c>
      <c r="F751" t="s">
        <v>24</v>
      </c>
      <c r="G751" t="s">
        <v>315</v>
      </c>
      <c r="H751" t="s">
        <v>316</v>
      </c>
      <c r="I751" t="s">
        <v>27</v>
      </c>
      <c r="J751" t="s">
        <v>212</v>
      </c>
      <c r="K751" t="s">
        <v>3079</v>
      </c>
      <c r="L751" t="s">
        <v>30</v>
      </c>
      <c r="M751" t="s">
        <v>105</v>
      </c>
      <c r="N751" t="s">
        <v>3080</v>
      </c>
      <c r="O751" s="2">
        <v>88</v>
      </c>
      <c r="P751">
        <v>2</v>
      </c>
      <c r="Q751" s="3">
        <v>0.1</v>
      </c>
      <c r="R751" s="2">
        <v>24.498000000000001</v>
      </c>
      <c r="S751" s="2">
        <v>5.95</v>
      </c>
      <c r="T751" t="s">
        <v>33</v>
      </c>
      <c r="U751">
        <v>2014</v>
      </c>
    </row>
    <row r="752" spans="1:21" x14ac:dyDescent="0.3">
      <c r="A752" t="s">
        <v>3081</v>
      </c>
      <c r="B752" s="1">
        <v>40807</v>
      </c>
      <c r="C752" s="1">
        <v>40807</v>
      </c>
      <c r="D752" t="s">
        <v>232</v>
      </c>
      <c r="E752" t="s">
        <v>3082</v>
      </c>
      <c r="F752" t="s">
        <v>54</v>
      </c>
      <c r="G752" t="s">
        <v>3083</v>
      </c>
      <c r="H752" t="s">
        <v>524</v>
      </c>
      <c r="I752" t="s">
        <v>39</v>
      </c>
      <c r="J752" t="s">
        <v>40</v>
      </c>
      <c r="K752" t="s">
        <v>3084</v>
      </c>
      <c r="L752" t="s">
        <v>59</v>
      </c>
      <c r="M752" t="s">
        <v>339</v>
      </c>
      <c r="N752" t="s">
        <v>3085</v>
      </c>
      <c r="O752" s="2">
        <v>705</v>
      </c>
      <c r="P752">
        <v>4</v>
      </c>
      <c r="Q752" s="3">
        <v>0.4</v>
      </c>
      <c r="R752" s="2">
        <v>-411.32799999999997</v>
      </c>
      <c r="S752" s="2">
        <v>128.72</v>
      </c>
      <c r="T752" t="s">
        <v>99</v>
      </c>
      <c r="U752">
        <v>2011</v>
      </c>
    </row>
    <row r="753" spans="1:21" x14ac:dyDescent="0.3">
      <c r="A753" t="s">
        <v>3086</v>
      </c>
      <c r="B753" s="1">
        <v>40831</v>
      </c>
      <c r="C753" s="1">
        <v>40835</v>
      </c>
      <c r="D753" t="s">
        <v>22</v>
      </c>
      <c r="E753" t="s">
        <v>3087</v>
      </c>
      <c r="F753" t="s">
        <v>54</v>
      </c>
      <c r="G753" t="s">
        <v>1270</v>
      </c>
      <c r="H753" t="s">
        <v>1147</v>
      </c>
      <c r="I753" t="s">
        <v>39</v>
      </c>
      <c r="J753" t="s">
        <v>129</v>
      </c>
      <c r="K753" t="s">
        <v>3088</v>
      </c>
      <c r="L753" t="s">
        <v>30</v>
      </c>
      <c r="M753" t="s">
        <v>66</v>
      </c>
      <c r="N753" t="s">
        <v>3089</v>
      </c>
      <c r="O753" s="2">
        <v>15</v>
      </c>
      <c r="P753">
        <v>1</v>
      </c>
      <c r="Q753" s="3">
        <v>0</v>
      </c>
      <c r="R753" s="2">
        <v>2.9</v>
      </c>
      <c r="S753" s="2">
        <v>0.69</v>
      </c>
      <c r="T753" t="s">
        <v>33</v>
      </c>
      <c r="U753">
        <v>2011</v>
      </c>
    </row>
    <row r="754" spans="1:21" x14ac:dyDescent="0.3">
      <c r="A754" t="s">
        <v>3090</v>
      </c>
      <c r="B754" s="1">
        <v>41192</v>
      </c>
      <c r="C754" s="1">
        <v>41199</v>
      </c>
      <c r="D754" t="s">
        <v>22</v>
      </c>
      <c r="E754" t="s">
        <v>1924</v>
      </c>
      <c r="F754" t="s">
        <v>36</v>
      </c>
      <c r="G754" t="s">
        <v>127</v>
      </c>
      <c r="H754" t="s">
        <v>128</v>
      </c>
      <c r="I754" t="s">
        <v>49</v>
      </c>
      <c r="J754" t="s">
        <v>129</v>
      </c>
      <c r="K754" t="s">
        <v>3091</v>
      </c>
      <c r="L754" t="s">
        <v>146</v>
      </c>
      <c r="M754" t="s">
        <v>147</v>
      </c>
      <c r="N754" t="s">
        <v>3092</v>
      </c>
      <c r="O754" s="2">
        <v>334</v>
      </c>
      <c r="P754">
        <v>2</v>
      </c>
      <c r="Q754" s="3">
        <v>0</v>
      </c>
      <c r="R754" s="2">
        <v>106.86</v>
      </c>
      <c r="S754" s="2">
        <v>40.69</v>
      </c>
      <c r="T754" t="s">
        <v>77</v>
      </c>
      <c r="U754">
        <v>2012</v>
      </c>
    </row>
    <row r="755" spans="1:21" x14ac:dyDescent="0.3">
      <c r="A755" t="s">
        <v>3093</v>
      </c>
      <c r="B755" s="1">
        <v>41928</v>
      </c>
      <c r="C755" s="1">
        <v>41933</v>
      </c>
      <c r="D755" t="s">
        <v>45</v>
      </c>
      <c r="E755" t="s">
        <v>1062</v>
      </c>
      <c r="F755" t="s">
        <v>24</v>
      </c>
      <c r="G755" t="s">
        <v>1915</v>
      </c>
      <c r="H755" t="s">
        <v>26</v>
      </c>
      <c r="I755" t="s">
        <v>27</v>
      </c>
      <c r="J755" t="s">
        <v>28</v>
      </c>
      <c r="K755" t="s">
        <v>3094</v>
      </c>
      <c r="L755" t="s">
        <v>59</v>
      </c>
      <c r="M755" t="s">
        <v>60</v>
      </c>
      <c r="N755" t="s">
        <v>3095</v>
      </c>
      <c r="O755" s="2">
        <v>23</v>
      </c>
      <c r="P755">
        <v>2</v>
      </c>
      <c r="Q755" s="3">
        <v>0.27</v>
      </c>
      <c r="R755" s="2">
        <v>0.31019999999999998</v>
      </c>
      <c r="S755" s="2">
        <v>1.42</v>
      </c>
      <c r="T755" t="s">
        <v>33</v>
      </c>
      <c r="U755">
        <v>2014</v>
      </c>
    </row>
    <row r="756" spans="1:21" x14ac:dyDescent="0.3">
      <c r="A756" t="s">
        <v>3096</v>
      </c>
      <c r="B756" s="1">
        <v>40844</v>
      </c>
      <c r="C756" s="1">
        <v>40844</v>
      </c>
      <c r="D756" t="s">
        <v>232</v>
      </c>
      <c r="E756" t="s">
        <v>1012</v>
      </c>
      <c r="F756" t="s">
        <v>54</v>
      </c>
      <c r="G756" t="s">
        <v>1951</v>
      </c>
      <c r="H756" t="s">
        <v>72</v>
      </c>
      <c r="I756" t="s">
        <v>27</v>
      </c>
      <c r="J756" t="s">
        <v>73</v>
      </c>
      <c r="K756" t="s">
        <v>3097</v>
      </c>
      <c r="L756" t="s">
        <v>59</v>
      </c>
      <c r="M756" t="s">
        <v>139</v>
      </c>
      <c r="N756" t="s">
        <v>3098</v>
      </c>
      <c r="O756" s="2">
        <v>2301</v>
      </c>
      <c r="P756">
        <v>5</v>
      </c>
      <c r="Q756" s="3">
        <v>0</v>
      </c>
      <c r="R756" s="2">
        <v>91.95</v>
      </c>
      <c r="S756" s="2">
        <v>573.27</v>
      </c>
      <c r="T756" t="s">
        <v>68</v>
      </c>
      <c r="U756">
        <v>2011</v>
      </c>
    </row>
    <row r="757" spans="1:21" x14ac:dyDescent="0.3">
      <c r="A757" t="s">
        <v>3099</v>
      </c>
      <c r="B757" s="1">
        <v>41569</v>
      </c>
      <c r="C757" s="1">
        <v>41574</v>
      </c>
      <c r="D757" t="s">
        <v>22</v>
      </c>
      <c r="E757" t="s">
        <v>757</v>
      </c>
      <c r="F757" t="s">
        <v>36</v>
      </c>
      <c r="G757" t="s">
        <v>3100</v>
      </c>
      <c r="H757" t="s">
        <v>269</v>
      </c>
      <c r="I757" t="s">
        <v>88</v>
      </c>
      <c r="J757" t="s">
        <v>88</v>
      </c>
      <c r="K757" t="s">
        <v>3101</v>
      </c>
      <c r="L757" t="s">
        <v>30</v>
      </c>
      <c r="M757" t="s">
        <v>75</v>
      </c>
      <c r="N757" t="s">
        <v>3102</v>
      </c>
      <c r="O757" s="2">
        <v>7</v>
      </c>
      <c r="P757">
        <v>1</v>
      </c>
      <c r="Q757" s="3">
        <v>0</v>
      </c>
      <c r="R757" s="2">
        <v>0.39</v>
      </c>
      <c r="S757" s="2">
        <v>0.41</v>
      </c>
      <c r="T757" t="s">
        <v>33</v>
      </c>
      <c r="U757">
        <v>2013</v>
      </c>
    </row>
    <row r="758" spans="1:21" x14ac:dyDescent="0.3">
      <c r="A758" t="s">
        <v>3103</v>
      </c>
      <c r="B758" s="1">
        <v>41933</v>
      </c>
      <c r="C758" s="1">
        <v>41937</v>
      </c>
      <c r="D758" t="s">
        <v>22</v>
      </c>
      <c r="E758" t="s">
        <v>888</v>
      </c>
      <c r="F758" t="s">
        <v>24</v>
      </c>
      <c r="G758" t="s">
        <v>1049</v>
      </c>
      <c r="H758" t="s">
        <v>135</v>
      </c>
      <c r="I758" t="s">
        <v>136</v>
      </c>
      <c r="J758" t="s">
        <v>396</v>
      </c>
      <c r="K758" t="s">
        <v>3104</v>
      </c>
      <c r="L758" t="s">
        <v>30</v>
      </c>
      <c r="M758" t="s">
        <v>66</v>
      </c>
      <c r="N758" t="s">
        <v>3105</v>
      </c>
      <c r="O758" s="2">
        <v>665</v>
      </c>
      <c r="P758">
        <v>2</v>
      </c>
      <c r="Q758" s="3">
        <v>0.2</v>
      </c>
      <c r="R758" s="2">
        <v>66.540800000000004</v>
      </c>
      <c r="S758" s="2">
        <v>2.57</v>
      </c>
      <c r="T758" t="s">
        <v>33</v>
      </c>
      <c r="U758">
        <v>2014</v>
      </c>
    </row>
    <row r="759" spans="1:21" x14ac:dyDescent="0.3">
      <c r="A759" t="s">
        <v>3106</v>
      </c>
      <c r="B759" s="1">
        <v>41939</v>
      </c>
      <c r="C759" s="1">
        <v>41946</v>
      </c>
      <c r="D759" t="s">
        <v>22</v>
      </c>
      <c r="E759" t="s">
        <v>3107</v>
      </c>
      <c r="F759" t="s">
        <v>54</v>
      </c>
      <c r="G759" t="s">
        <v>3108</v>
      </c>
      <c r="H759" t="s">
        <v>135</v>
      </c>
      <c r="I759" t="s">
        <v>136</v>
      </c>
      <c r="J759" t="s">
        <v>57</v>
      </c>
      <c r="K759" t="s">
        <v>3109</v>
      </c>
      <c r="L759" t="s">
        <v>30</v>
      </c>
      <c r="M759" t="s">
        <v>75</v>
      </c>
      <c r="N759" t="s">
        <v>3110</v>
      </c>
      <c r="O759" s="2">
        <v>6</v>
      </c>
      <c r="P759">
        <v>2</v>
      </c>
      <c r="Q759" s="3">
        <v>0</v>
      </c>
      <c r="R759" s="2">
        <v>2.9567999999999999</v>
      </c>
      <c r="S759" s="2">
        <v>0.23</v>
      </c>
      <c r="T759" t="s">
        <v>77</v>
      </c>
      <c r="U759">
        <v>2014</v>
      </c>
    </row>
    <row r="760" spans="1:21" x14ac:dyDescent="0.3">
      <c r="A760" t="s">
        <v>3111</v>
      </c>
      <c r="B760" s="1">
        <v>41527</v>
      </c>
      <c r="C760" s="1">
        <v>41532</v>
      </c>
      <c r="D760" t="s">
        <v>45</v>
      </c>
      <c r="E760" t="s">
        <v>2423</v>
      </c>
      <c r="F760" t="s">
        <v>54</v>
      </c>
      <c r="G760" t="s">
        <v>3112</v>
      </c>
      <c r="H760" t="s">
        <v>1064</v>
      </c>
      <c r="I760" t="s">
        <v>49</v>
      </c>
      <c r="J760" t="s">
        <v>57</v>
      </c>
      <c r="K760" t="s">
        <v>3113</v>
      </c>
      <c r="L760" t="s">
        <v>30</v>
      </c>
      <c r="M760" t="s">
        <v>66</v>
      </c>
      <c r="N760" t="s">
        <v>3114</v>
      </c>
      <c r="O760" s="2">
        <v>382</v>
      </c>
      <c r="P760">
        <v>3</v>
      </c>
      <c r="Q760" s="3">
        <v>0</v>
      </c>
      <c r="R760" s="2">
        <v>3.78</v>
      </c>
      <c r="S760" s="2">
        <v>50.2</v>
      </c>
      <c r="T760" t="s">
        <v>33</v>
      </c>
      <c r="U760">
        <v>2013</v>
      </c>
    </row>
    <row r="761" spans="1:21" x14ac:dyDescent="0.3">
      <c r="A761" t="s">
        <v>3115</v>
      </c>
      <c r="B761" s="1">
        <v>41204</v>
      </c>
      <c r="C761" s="1">
        <v>41206</v>
      </c>
      <c r="D761" t="s">
        <v>45</v>
      </c>
      <c r="E761" t="s">
        <v>3082</v>
      </c>
      <c r="F761" t="s">
        <v>54</v>
      </c>
      <c r="G761" t="s">
        <v>931</v>
      </c>
      <c r="H761" t="s">
        <v>402</v>
      </c>
      <c r="I761" t="s">
        <v>39</v>
      </c>
      <c r="J761" t="s">
        <v>236</v>
      </c>
      <c r="K761" t="s">
        <v>2559</v>
      </c>
      <c r="L761" t="s">
        <v>30</v>
      </c>
      <c r="M761" t="s">
        <v>105</v>
      </c>
      <c r="N761" t="s">
        <v>334</v>
      </c>
      <c r="O761" s="2">
        <v>44</v>
      </c>
      <c r="P761">
        <v>5</v>
      </c>
      <c r="Q761" s="3">
        <v>0</v>
      </c>
      <c r="R761" s="2">
        <v>8.8000000000000007</v>
      </c>
      <c r="S761" s="2">
        <v>9.06</v>
      </c>
      <c r="T761" t="s">
        <v>99</v>
      </c>
      <c r="U761">
        <v>2012</v>
      </c>
    </row>
    <row r="762" spans="1:21" x14ac:dyDescent="0.3">
      <c r="A762" t="s">
        <v>3116</v>
      </c>
      <c r="B762" s="1">
        <v>40857</v>
      </c>
      <c r="C762" s="1">
        <v>40862</v>
      </c>
      <c r="D762" t="s">
        <v>22</v>
      </c>
      <c r="E762" t="s">
        <v>683</v>
      </c>
      <c r="F762" t="s">
        <v>36</v>
      </c>
      <c r="G762" t="s">
        <v>1332</v>
      </c>
      <c r="H762" t="s">
        <v>72</v>
      </c>
      <c r="I762" t="s">
        <v>27</v>
      </c>
      <c r="J762" t="s">
        <v>73</v>
      </c>
      <c r="K762" t="s">
        <v>3117</v>
      </c>
      <c r="L762" t="s">
        <v>30</v>
      </c>
      <c r="M762" t="s">
        <v>410</v>
      </c>
      <c r="N762" t="s">
        <v>3118</v>
      </c>
      <c r="O762" s="2">
        <v>205</v>
      </c>
      <c r="P762">
        <v>4</v>
      </c>
      <c r="Q762" s="3">
        <v>0</v>
      </c>
      <c r="R762" s="2">
        <v>28.68</v>
      </c>
      <c r="S762" s="2">
        <v>19.87</v>
      </c>
      <c r="T762" t="s">
        <v>33</v>
      </c>
      <c r="U762">
        <v>2011</v>
      </c>
    </row>
    <row r="763" spans="1:21" x14ac:dyDescent="0.3">
      <c r="A763" t="s">
        <v>3119</v>
      </c>
      <c r="B763" s="1">
        <v>41197</v>
      </c>
      <c r="C763" s="1">
        <v>41203</v>
      </c>
      <c r="D763" t="s">
        <v>22</v>
      </c>
      <c r="E763" t="s">
        <v>3120</v>
      </c>
      <c r="F763" t="s">
        <v>36</v>
      </c>
      <c r="G763" t="s">
        <v>3121</v>
      </c>
      <c r="H763" t="s">
        <v>408</v>
      </c>
      <c r="I763" t="s">
        <v>39</v>
      </c>
      <c r="J763" t="s">
        <v>40</v>
      </c>
      <c r="K763" t="s">
        <v>3122</v>
      </c>
      <c r="L763" t="s">
        <v>30</v>
      </c>
      <c r="M763" t="s">
        <v>97</v>
      </c>
      <c r="N763" t="s">
        <v>3123</v>
      </c>
      <c r="O763" s="2">
        <v>9</v>
      </c>
      <c r="P763">
        <v>2</v>
      </c>
      <c r="Q763" s="3">
        <v>0.4</v>
      </c>
      <c r="R763" s="2">
        <v>-1.3360000000000001</v>
      </c>
      <c r="S763" s="2">
        <v>0.31</v>
      </c>
      <c r="T763" t="s">
        <v>33</v>
      </c>
      <c r="U763">
        <v>2012</v>
      </c>
    </row>
    <row r="764" spans="1:21" x14ac:dyDescent="0.3">
      <c r="A764" t="s">
        <v>3124</v>
      </c>
      <c r="B764" s="1">
        <v>40978</v>
      </c>
      <c r="C764" s="1">
        <v>40978</v>
      </c>
      <c r="D764" t="s">
        <v>232</v>
      </c>
      <c r="E764" t="s">
        <v>3125</v>
      </c>
      <c r="F764" t="s">
        <v>54</v>
      </c>
      <c r="G764" t="s">
        <v>569</v>
      </c>
      <c r="H764" t="s">
        <v>135</v>
      </c>
      <c r="I764" t="s">
        <v>136</v>
      </c>
      <c r="J764" t="s">
        <v>57</v>
      </c>
      <c r="K764" t="s">
        <v>3126</v>
      </c>
      <c r="L764" t="s">
        <v>30</v>
      </c>
      <c r="M764" t="s">
        <v>31</v>
      </c>
      <c r="N764" t="s">
        <v>3127</v>
      </c>
      <c r="O764" s="2">
        <v>1</v>
      </c>
      <c r="P764">
        <v>2</v>
      </c>
      <c r="Q764" s="3">
        <v>0.8</v>
      </c>
      <c r="R764" s="2">
        <v>-1.8904000000000001</v>
      </c>
      <c r="S764" s="2">
        <v>0.06</v>
      </c>
      <c r="T764" t="s">
        <v>99</v>
      </c>
      <c r="U764">
        <v>2012</v>
      </c>
    </row>
    <row r="765" spans="1:21" x14ac:dyDescent="0.3">
      <c r="A765" t="s">
        <v>3128</v>
      </c>
      <c r="B765" s="1">
        <v>41939</v>
      </c>
      <c r="C765" s="1">
        <v>41941</v>
      </c>
      <c r="D765" t="s">
        <v>45</v>
      </c>
      <c r="E765" t="s">
        <v>3129</v>
      </c>
      <c r="F765" t="s">
        <v>54</v>
      </c>
      <c r="G765" t="s">
        <v>3130</v>
      </c>
      <c r="H765" t="s">
        <v>152</v>
      </c>
      <c r="I765" t="s">
        <v>27</v>
      </c>
      <c r="J765" t="s">
        <v>153</v>
      </c>
      <c r="K765" t="s">
        <v>3131</v>
      </c>
      <c r="L765" t="s">
        <v>146</v>
      </c>
      <c r="M765" t="s">
        <v>147</v>
      </c>
      <c r="N765" t="s">
        <v>3132</v>
      </c>
      <c r="O765" s="2">
        <v>249</v>
      </c>
      <c r="P765">
        <v>2</v>
      </c>
      <c r="Q765" s="3">
        <v>0</v>
      </c>
      <c r="R765" s="2">
        <v>59.76</v>
      </c>
      <c r="S765" s="2">
        <v>30.12</v>
      </c>
      <c r="T765" t="s">
        <v>99</v>
      </c>
      <c r="U765">
        <v>2014</v>
      </c>
    </row>
    <row r="766" spans="1:21" x14ac:dyDescent="0.3">
      <c r="A766" t="s">
        <v>3133</v>
      </c>
      <c r="B766" s="1">
        <v>41009</v>
      </c>
      <c r="C766" s="1">
        <v>41015</v>
      </c>
      <c r="D766" t="s">
        <v>22</v>
      </c>
      <c r="E766" t="s">
        <v>873</v>
      </c>
      <c r="F766" t="s">
        <v>54</v>
      </c>
      <c r="G766" t="s">
        <v>849</v>
      </c>
      <c r="H766" t="s">
        <v>205</v>
      </c>
      <c r="I766" t="s">
        <v>49</v>
      </c>
      <c r="J766" t="s">
        <v>57</v>
      </c>
      <c r="K766" t="s">
        <v>3134</v>
      </c>
      <c r="L766" t="s">
        <v>30</v>
      </c>
      <c r="M766" t="s">
        <v>97</v>
      </c>
      <c r="N766" t="s">
        <v>3135</v>
      </c>
      <c r="O766" s="2">
        <v>36</v>
      </c>
      <c r="P766">
        <v>3</v>
      </c>
      <c r="Q766" s="3">
        <v>0</v>
      </c>
      <c r="R766" s="2">
        <v>8.91</v>
      </c>
      <c r="S766" s="2">
        <v>3.06</v>
      </c>
      <c r="T766" t="s">
        <v>33</v>
      </c>
      <c r="U766">
        <v>2012</v>
      </c>
    </row>
    <row r="767" spans="1:21" x14ac:dyDescent="0.3">
      <c r="A767" t="s">
        <v>3136</v>
      </c>
      <c r="B767" s="1">
        <v>41927</v>
      </c>
      <c r="C767" s="1">
        <v>41933</v>
      </c>
      <c r="D767" t="s">
        <v>22</v>
      </c>
      <c r="E767" t="s">
        <v>2404</v>
      </c>
      <c r="F767" t="s">
        <v>24</v>
      </c>
      <c r="G767" t="s">
        <v>2836</v>
      </c>
      <c r="H767" t="s">
        <v>211</v>
      </c>
      <c r="I767" t="s">
        <v>27</v>
      </c>
      <c r="J767" t="s">
        <v>212</v>
      </c>
      <c r="K767" t="s">
        <v>3137</v>
      </c>
      <c r="L767" t="s">
        <v>30</v>
      </c>
      <c r="M767" t="s">
        <v>370</v>
      </c>
      <c r="N767" t="s">
        <v>2746</v>
      </c>
      <c r="O767" s="2">
        <v>38</v>
      </c>
      <c r="P767">
        <v>1</v>
      </c>
      <c r="Q767" s="3">
        <v>0</v>
      </c>
      <c r="R767" s="2">
        <v>11.25</v>
      </c>
      <c r="S767" s="2">
        <v>2.1800000000000002</v>
      </c>
      <c r="T767" t="s">
        <v>33</v>
      </c>
      <c r="U767">
        <v>2014</v>
      </c>
    </row>
    <row r="768" spans="1:21" x14ac:dyDescent="0.3">
      <c r="A768" t="s">
        <v>3138</v>
      </c>
      <c r="B768" s="1">
        <v>41204</v>
      </c>
      <c r="C768" s="1">
        <v>41209</v>
      </c>
      <c r="D768" t="s">
        <v>22</v>
      </c>
      <c r="E768" t="s">
        <v>233</v>
      </c>
      <c r="F768" t="s">
        <v>54</v>
      </c>
      <c r="G768" t="s">
        <v>3139</v>
      </c>
      <c r="H768" t="s">
        <v>1034</v>
      </c>
      <c r="I768" t="s">
        <v>88</v>
      </c>
      <c r="J768" t="s">
        <v>88</v>
      </c>
      <c r="K768" t="s">
        <v>3140</v>
      </c>
      <c r="L768" t="s">
        <v>30</v>
      </c>
      <c r="M768" t="s">
        <v>31</v>
      </c>
      <c r="N768" t="s">
        <v>3141</v>
      </c>
      <c r="O768" s="2">
        <v>14</v>
      </c>
      <c r="P768">
        <v>1</v>
      </c>
      <c r="Q768" s="3">
        <v>0</v>
      </c>
      <c r="R768" s="2">
        <v>1.89</v>
      </c>
      <c r="S768" s="2">
        <v>0.99</v>
      </c>
      <c r="T768" t="s">
        <v>33</v>
      </c>
      <c r="U768">
        <v>2012</v>
      </c>
    </row>
    <row r="769" spans="1:21" x14ac:dyDescent="0.3">
      <c r="A769" t="s">
        <v>3142</v>
      </c>
      <c r="B769" s="1">
        <v>41201</v>
      </c>
      <c r="C769" s="1">
        <v>41206</v>
      </c>
      <c r="D769" t="s">
        <v>45</v>
      </c>
      <c r="E769" t="s">
        <v>3143</v>
      </c>
      <c r="F769" t="s">
        <v>54</v>
      </c>
      <c r="G769" t="s">
        <v>569</v>
      </c>
      <c r="H769" t="s">
        <v>135</v>
      </c>
      <c r="I769" t="s">
        <v>136</v>
      </c>
      <c r="J769" t="s">
        <v>57</v>
      </c>
      <c r="K769" t="s">
        <v>3144</v>
      </c>
      <c r="L769" t="s">
        <v>30</v>
      </c>
      <c r="M769" t="s">
        <v>31</v>
      </c>
      <c r="N769" t="s">
        <v>3145</v>
      </c>
      <c r="O769" s="2">
        <v>2</v>
      </c>
      <c r="P769">
        <v>1</v>
      </c>
      <c r="Q769" s="3">
        <v>0.8</v>
      </c>
      <c r="R769" s="2">
        <v>-2.8380000000000001</v>
      </c>
      <c r="S769" s="2">
        <v>0.16</v>
      </c>
      <c r="T769" t="s">
        <v>33</v>
      </c>
      <c r="U769">
        <v>2012</v>
      </c>
    </row>
    <row r="770" spans="1:21" x14ac:dyDescent="0.3">
      <c r="A770" t="s">
        <v>3146</v>
      </c>
      <c r="B770" s="1">
        <v>41253</v>
      </c>
      <c r="C770" s="1">
        <v>41257</v>
      </c>
      <c r="D770" t="s">
        <v>22</v>
      </c>
      <c r="E770" t="s">
        <v>1336</v>
      </c>
      <c r="F770" t="s">
        <v>54</v>
      </c>
      <c r="G770" t="s">
        <v>337</v>
      </c>
      <c r="H770" t="s">
        <v>316</v>
      </c>
      <c r="I770" t="s">
        <v>27</v>
      </c>
      <c r="J770" t="s">
        <v>212</v>
      </c>
      <c r="K770" t="s">
        <v>3147</v>
      </c>
      <c r="L770" t="s">
        <v>146</v>
      </c>
      <c r="M770" t="s">
        <v>347</v>
      </c>
      <c r="N770" t="s">
        <v>3148</v>
      </c>
      <c r="O770" s="2">
        <v>341</v>
      </c>
      <c r="P770">
        <v>2</v>
      </c>
      <c r="Q770" s="3">
        <v>0.1</v>
      </c>
      <c r="R770" s="2">
        <v>-7.6079999999999997</v>
      </c>
      <c r="S770" s="2">
        <v>24.87</v>
      </c>
      <c r="T770" t="s">
        <v>33</v>
      </c>
      <c r="U770">
        <v>2012</v>
      </c>
    </row>
    <row r="771" spans="1:21" x14ac:dyDescent="0.3">
      <c r="A771" t="s">
        <v>3149</v>
      </c>
      <c r="B771" s="1">
        <v>41561</v>
      </c>
      <c r="C771" s="1">
        <v>41562</v>
      </c>
      <c r="D771" t="s">
        <v>84</v>
      </c>
      <c r="E771" t="s">
        <v>2057</v>
      </c>
      <c r="F771" t="s">
        <v>36</v>
      </c>
      <c r="G771" t="s">
        <v>2370</v>
      </c>
      <c r="H771" t="s">
        <v>2371</v>
      </c>
      <c r="I771" t="s">
        <v>117</v>
      </c>
      <c r="J771" t="s">
        <v>117</v>
      </c>
      <c r="K771" t="s">
        <v>3150</v>
      </c>
      <c r="L771" t="s">
        <v>146</v>
      </c>
      <c r="M771" t="s">
        <v>195</v>
      </c>
      <c r="N771" t="s">
        <v>3151</v>
      </c>
      <c r="O771" s="2">
        <v>1520</v>
      </c>
      <c r="P771">
        <v>6</v>
      </c>
      <c r="Q771" s="3">
        <v>0</v>
      </c>
      <c r="R771" s="2">
        <v>653.4</v>
      </c>
      <c r="S771" s="2">
        <v>286.2</v>
      </c>
      <c r="T771" t="s">
        <v>68</v>
      </c>
      <c r="U771">
        <v>2013</v>
      </c>
    </row>
    <row r="772" spans="1:21" x14ac:dyDescent="0.3">
      <c r="A772" t="s">
        <v>3152</v>
      </c>
      <c r="B772" s="1">
        <v>41576</v>
      </c>
      <c r="C772" s="1">
        <v>41581</v>
      </c>
      <c r="D772" t="s">
        <v>22</v>
      </c>
      <c r="E772" t="s">
        <v>2118</v>
      </c>
      <c r="F772" t="s">
        <v>54</v>
      </c>
      <c r="G772" t="s">
        <v>102</v>
      </c>
      <c r="H772" t="s">
        <v>103</v>
      </c>
      <c r="I772" t="s">
        <v>39</v>
      </c>
      <c r="J772" t="s">
        <v>57</v>
      </c>
      <c r="K772" t="s">
        <v>3153</v>
      </c>
      <c r="L772" t="s">
        <v>146</v>
      </c>
      <c r="M772" t="s">
        <v>147</v>
      </c>
      <c r="N772" t="s">
        <v>3154</v>
      </c>
      <c r="O772" s="2">
        <v>391</v>
      </c>
      <c r="P772">
        <v>7</v>
      </c>
      <c r="Q772" s="3">
        <v>0.4</v>
      </c>
      <c r="R772" s="2">
        <v>-221.34</v>
      </c>
      <c r="S772" s="2">
        <v>26.11</v>
      </c>
      <c r="T772" t="s">
        <v>33</v>
      </c>
      <c r="U772">
        <v>2013</v>
      </c>
    </row>
    <row r="773" spans="1:21" x14ac:dyDescent="0.3">
      <c r="A773" t="s">
        <v>3155</v>
      </c>
      <c r="B773" s="1">
        <v>41928</v>
      </c>
      <c r="C773" s="1">
        <v>41931</v>
      </c>
      <c r="D773" t="s">
        <v>45</v>
      </c>
      <c r="E773" t="s">
        <v>687</v>
      </c>
      <c r="F773" t="s">
        <v>54</v>
      </c>
      <c r="G773" t="s">
        <v>1553</v>
      </c>
      <c r="H773" t="s">
        <v>38</v>
      </c>
      <c r="I773" t="s">
        <v>39</v>
      </c>
      <c r="J773" t="s">
        <v>40</v>
      </c>
      <c r="K773" t="s">
        <v>3156</v>
      </c>
      <c r="L773" t="s">
        <v>146</v>
      </c>
      <c r="M773" t="s">
        <v>147</v>
      </c>
      <c r="N773" t="s">
        <v>3157</v>
      </c>
      <c r="O773" s="2">
        <v>71</v>
      </c>
      <c r="P773">
        <v>4</v>
      </c>
      <c r="Q773" s="3">
        <v>0.6</v>
      </c>
      <c r="R773" s="2">
        <v>-51.456000000000003</v>
      </c>
      <c r="S773" s="2">
        <v>6.84</v>
      </c>
      <c r="T773" t="s">
        <v>99</v>
      </c>
      <c r="U773">
        <v>2014</v>
      </c>
    </row>
    <row r="774" spans="1:21" x14ac:dyDescent="0.3">
      <c r="A774" t="s">
        <v>3158</v>
      </c>
      <c r="B774" s="1">
        <v>41009</v>
      </c>
      <c r="C774" s="1">
        <v>41013</v>
      </c>
      <c r="D774" t="s">
        <v>22</v>
      </c>
      <c r="E774" t="s">
        <v>3159</v>
      </c>
      <c r="F774" t="s">
        <v>54</v>
      </c>
      <c r="G774" t="s">
        <v>3160</v>
      </c>
      <c r="H774" t="s">
        <v>564</v>
      </c>
      <c r="I774" t="s">
        <v>49</v>
      </c>
      <c r="J774" t="s">
        <v>57</v>
      </c>
      <c r="K774" t="s">
        <v>3161</v>
      </c>
      <c r="L774" t="s">
        <v>30</v>
      </c>
      <c r="M774" t="s">
        <v>105</v>
      </c>
      <c r="N774" t="s">
        <v>3162</v>
      </c>
      <c r="O774" s="2">
        <v>28</v>
      </c>
      <c r="P774">
        <v>3</v>
      </c>
      <c r="Q774" s="3">
        <v>0.5</v>
      </c>
      <c r="R774" s="2">
        <v>-7.74</v>
      </c>
      <c r="S774" s="2">
        <v>1.9</v>
      </c>
      <c r="T774" t="s">
        <v>33</v>
      </c>
      <c r="U774">
        <v>2012</v>
      </c>
    </row>
    <row r="775" spans="1:21" x14ac:dyDescent="0.3">
      <c r="A775" t="s">
        <v>3163</v>
      </c>
      <c r="B775" s="1">
        <v>41934</v>
      </c>
      <c r="C775" s="1">
        <v>41938</v>
      </c>
      <c r="D775" t="s">
        <v>22</v>
      </c>
      <c r="E775" t="s">
        <v>1199</v>
      </c>
      <c r="F775" t="s">
        <v>54</v>
      </c>
      <c r="G775" t="s">
        <v>345</v>
      </c>
      <c r="H775" t="s">
        <v>38</v>
      </c>
      <c r="I775" t="s">
        <v>39</v>
      </c>
      <c r="J775" t="s">
        <v>40</v>
      </c>
      <c r="K775" t="s">
        <v>3164</v>
      </c>
      <c r="L775" t="s">
        <v>30</v>
      </c>
      <c r="M775" t="s">
        <v>75</v>
      </c>
      <c r="N775" t="s">
        <v>2116</v>
      </c>
      <c r="O775" s="2">
        <v>34</v>
      </c>
      <c r="P775">
        <v>5</v>
      </c>
      <c r="Q775" s="3">
        <v>0</v>
      </c>
      <c r="R775" s="2">
        <v>7.9</v>
      </c>
      <c r="S775" s="2">
        <v>3.52</v>
      </c>
      <c r="T775" t="s">
        <v>33</v>
      </c>
      <c r="U775">
        <v>2014</v>
      </c>
    </row>
    <row r="776" spans="1:21" x14ac:dyDescent="0.3">
      <c r="A776" t="s">
        <v>3165</v>
      </c>
      <c r="B776" s="1">
        <v>41577</v>
      </c>
      <c r="C776" s="1">
        <v>41580</v>
      </c>
      <c r="D776" t="s">
        <v>45</v>
      </c>
      <c r="E776" t="s">
        <v>2152</v>
      </c>
      <c r="F776" t="s">
        <v>54</v>
      </c>
      <c r="G776" t="s">
        <v>134</v>
      </c>
      <c r="H776" t="s">
        <v>135</v>
      </c>
      <c r="I776" t="s">
        <v>136</v>
      </c>
      <c r="J776" t="s">
        <v>137</v>
      </c>
      <c r="K776" t="s">
        <v>3166</v>
      </c>
      <c r="L776" t="s">
        <v>30</v>
      </c>
      <c r="M776" t="s">
        <v>31</v>
      </c>
      <c r="N776" t="s">
        <v>3167</v>
      </c>
      <c r="O776" s="2">
        <v>12</v>
      </c>
      <c r="P776">
        <v>1</v>
      </c>
      <c r="Q776" s="3">
        <v>0.2</v>
      </c>
      <c r="R776" s="2">
        <v>3.8168000000000002</v>
      </c>
      <c r="S776" s="2">
        <v>2.67</v>
      </c>
      <c r="T776" t="s">
        <v>68</v>
      </c>
      <c r="U776">
        <v>2013</v>
      </c>
    </row>
    <row r="777" spans="1:21" x14ac:dyDescent="0.3">
      <c r="A777" t="s">
        <v>3168</v>
      </c>
      <c r="B777" s="1">
        <v>41435</v>
      </c>
      <c r="C777" s="1">
        <v>41438</v>
      </c>
      <c r="D777" t="s">
        <v>84</v>
      </c>
      <c r="E777" t="s">
        <v>3169</v>
      </c>
      <c r="F777" t="s">
        <v>54</v>
      </c>
      <c r="G777" t="s">
        <v>1105</v>
      </c>
      <c r="H777" t="s">
        <v>135</v>
      </c>
      <c r="I777" t="s">
        <v>136</v>
      </c>
      <c r="J777" t="s">
        <v>40</v>
      </c>
      <c r="K777" t="s">
        <v>3170</v>
      </c>
      <c r="L777" t="s">
        <v>146</v>
      </c>
      <c r="M777" t="s">
        <v>195</v>
      </c>
      <c r="N777" t="s">
        <v>3171</v>
      </c>
      <c r="O777" s="2">
        <v>696</v>
      </c>
      <c r="P777">
        <v>2</v>
      </c>
      <c r="Q777" s="3">
        <v>0.5</v>
      </c>
      <c r="R777" s="2">
        <v>-27.827999999999999</v>
      </c>
      <c r="S777" s="2">
        <v>356.68</v>
      </c>
      <c r="T777" t="s">
        <v>68</v>
      </c>
      <c r="U777">
        <v>2013</v>
      </c>
    </row>
    <row r="778" spans="1:21" x14ac:dyDescent="0.3">
      <c r="A778" t="s">
        <v>3172</v>
      </c>
      <c r="B778" s="1">
        <v>41925</v>
      </c>
      <c r="C778" s="1">
        <v>41928</v>
      </c>
      <c r="D778" t="s">
        <v>45</v>
      </c>
      <c r="E778" t="s">
        <v>1345</v>
      </c>
      <c r="F778" t="s">
        <v>24</v>
      </c>
      <c r="G778" t="s">
        <v>204</v>
      </c>
      <c r="H778" t="s">
        <v>205</v>
      </c>
      <c r="I778" t="s">
        <v>49</v>
      </c>
      <c r="J778" t="s">
        <v>57</v>
      </c>
      <c r="K778" t="s">
        <v>3173</v>
      </c>
      <c r="L778" t="s">
        <v>146</v>
      </c>
      <c r="M778" t="s">
        <v>147</v>
      </c>
      <c r="N778" t="s">
        <v>3174</v>
      </c>
      <c r="O778" s="2">
        <v>130</v>
      </c>
      <c r="P778">
        <v>2</v>
      </c>
      <c r="Q778" s="3">
        <v>0</v>
      </c>
      <c r="R778" s="2">
        <v>30</v>
      </c>
      <c r="S778" s="2">
        <v>15.48</v>
      </c>
      <c r="T778" t="s">
        <v>33</v>
      </c>
      <c r="U778">
        <v>2014</v>
      </c>
    </row>
    <row r="779" spans="1:21" x14ac:dyDescent="0.3">
      <c r="A779" t="s">
        <v>3175</v>
      </c>
      <c r="B779" s="1">
        <v>41131</v>
      </c>
      <c r="C779" s="1">
        <v>41133</v>
      </c>
      <c r="D779" t="s">
        <v>84</v>
      </c>
      <c r="E779" t="s">
        <v>3005</v>
      </c>
      <c r="F779" t="s">
        <v>54</v>
      </c>
      <c r="G779" t="s">
        <v>810</v>
      </c>
      <c r="H779" t="s">
        <v>811</v>
      </c>
      <c r="I779" t="s">
        <v>88</v>
      </c>
      <c r="J779" t="s">
        <v>88</v>
      </c>
      <c r="K779" t="s">
        <v>3176</v>
      </c>
      <c r="L779" t="s">
        <v>146</v>
      </c>
      <c r="M779" t="s">
        <v>271</v>
      </c>
      <c r="N779" t="s">
        <v>3177</v>
      </c>
      <c r="O779" s="2">
        <v>513</v>
      </c>
      <c r="P779">
        <v>2</v>
      </c>
      <c r="Q779" s="3">
        <v>0</v>
      </c>
      <c r="R779" s="2">
        <v>199.92</v>
      </c>
      <c r="S779" s="2">
        <v>77.92</v>
      </c>
      <c r="T779" t="s">
        <v>99</v>
      </c>
      <c r="U779">
        <v>2012</v>
      </c>
    </row>
    <row r="780" spans="1:21" x14ac:dyDescent="0.3">
      <c r="A780" t="s">
        <v>3178</v>
      </c>
      <c r="B780" s="1">
        <v>41196</v>
      </c>
      <c r="C780" s="1">
        <v>41200</v>
      </c>
      <c r="D780" t="s">
        <v>22</v>
      </c>
      <c r="E780" t="s">
        <v>3179</v>
      </c>
      <c r="F780" t="s">
        <v>24</v>
      </c>
      <c r="G780" t="s">
        <v>3180</v>
      </c>
      <c r="H780" t="s">
        <v>1147</v>
      </c>
      <c r="I780" t="s">
        <v>39</v>
      </c>
      <c r="J780" t="s">
        <v>129</v>
      </c>
      <c r="K780" t="s">
        <v>3181</v>
      </c>
      <c r="L780" t="s">
        <v>59</v>
      </c>
      <c r="M780" t="s">
        <v>60</v>
      </c>
      <c r="N780" t="s">
        <v>3182</v>
      </c>
      <c r="O780" s="2">
        <v>87</v>
      </c>
      <c r="P780">
        <v>2</v>
      </c>
      <c r="Q780" s="3">
        <v>0.4</v>
      </c>
      <c r="R780" s="2">
        <v>-51.92</v>
      </c>
      <c r="S780" s="2">
        <v>5.1100000000000003</v>
      </c>
      <c r="T780" t="s">
        <v>33</v>
      </c>
      <c r="U780">
        <v>2012</v>
      </c>
    </row>
    <row r="781" spans="1:21" x14ac:dyDescent="0.3">
      <c r="A781" t="s">
        <v>3183</v>
      </c>
      <c r="B781" s="1">
        <v>41929</v>
      </c>
      <c r="C781" s="1">
        <v>41934</v>
      </c>
      <c r="D781" t="s">
        <v>45</v>
      </c>
      <c r="E781" t="s">
        <v>1529</v>
      </c>
      <c r="F781" t="s">
        <v>54</v>
      </c>
      <c r="G781" t="s">
        <v>3184</v>
      </c>
      <c r="H781" t="s">
        <v>1745</v>
      </c>
      <c r="I781" t="s">
        <v>117</v>
      </c>
      <c r="J781" t="s">
        <v>117</v>
      </c>
      <c r="K781" t="s">
        <v>3185</v>
      </c>
      <c r="L781" t="s">
        <v>30</v>
      </c>
      <c r="M781" t="s">
        <v>31</v>
      </c>
      <c r="N781" t="s">
        <v>1019</v>
      </c>
      <c r="O781" s="2">
        <v>34</v>
      </c>
      <c r="P781">
        <v>4</v>
      </c>
      <c r="Q781" s="3">
        <v>0</v>
      </c>
      <c r="R781" s="2">
        <v>5.4</v>
      </c>
      <c r="S781" s="2">
        <v>3.59</v>
      </c>
      <c r="T781" t="s">
        <v>99</v>
      </c>
      <c r="U781">
        <v>2014</v>
      </c>
    </row>
    <row r="782" spans="1:21" x14ac:dyDescent="0.3">
      <c r="A782" t="s">
        <v>3186</v>
      </c>
      <c r="B782" s="1">
        <v>41253</v>
      </c>
      <c r="C782" s="1">
        <v>41259</v>
      </c>
      <c r="D782" t="s">
        <v>22</v>
      </c>
      <c r="E782" t="s">
        <v>3187</v>
      </c>
      <c r="F782" t="s">
        <v>24</v>
      </c>
      <c r="G782" t="s">
        <v>763</v>
      </c>
      <c r="H782" t="s">
        <v>135</v>
      </c>
      <c r="I782" t="s">
        <v>136</v>
      </c>
      <c r="J782" t="s">
        <v>396</v>
      </c>
      <c r="K782" t="s">
        <v>3188</v>
      </c>
      <c r="L782" t="s">
        <v>30</v>
      </c>
      <c r="M782" t="s">
        <v>105</v>
      </c>
      <c r="N782" t="s">
        <v>3189</v>
      </c>
      <c r="O782" s="2">
        <v>45</v>
      </c>
      <c r="P782">
        <v>5</v>
      </c>
      <c r="Q782" s="3">
        <v>0</v>
      </c>
      <c r="R782" s="2">
        <v>20.585000000000001</v>
      </c>
      <c r="S782" s="2">
        <v>4.1900000000000004</v>
      </c>
      <c r="T782" t="s">
        <v>33</v>
      </c>
      <c r="U782">
        <v>2012</v>
      </c>
    </row>
    <row r="783" spans="1:21" x14ac:dyDescent="0.3">
      <c r="A783" t="s">
        <v>3190</v>
      </c>
      <c r="B783" s="1">
        <v>41940</v>
      </c>
      <c r="C783" s="1">
        <v>41940</v>
      </c>
      <c r="D783" t="s">
        <v>232</v>
      </c>
      <c r="E783" t="s">
        <v>3191</v>
      </c>
      <c r="F783" t="s">
        <v>36</v>
      </c>
      <c r="G783" t="s">
        <v>384</v>
      </c>
      <c r="H783" t="s">
        <v>26</v>
      </c>
      <c r="I783" t="s">
        <v>27</v>
      </c>
      <c r="J783" t="s">
        <v>28</v>
      </c>
      <c r="K783" t="s">
        <v>3192</v>
      </c>
      <c r="L783" t="s">
        <v>59</v>
      </c>
      <c r="M783" t="s">
        <v>60</v>
      </c>
      <c r="N783" t="s">
        <v>3193</v>
      </c>
      <c r="O783" s="2">
        <v>643</v>
      </c>
      <c r="P783">
        <v>8</v>
      </c>
      <c r="Q783" s="3">
        <v>0.27</v>
      </c>
      <c r="R783" s="2">
        <v>105.5136</v>
      </c>
      <c r="S783" s="2">
        <v>108.46</v>
      </c>
      <c r="T783" t="s">
        <v>99</v>
      </c>
      <c r="U783">
        <v>2014</v>
      </c>
    </row>
    <row r="784" spans="1:21" x14ac:dyDescent="0.3">
      <c r="A784" t="s">
        <v>3194</v>
      </c>
      <c r="B784" s="1">
        <v>41204</v>
      </c>
      <c r="C784" s="1">
        <v>41208</v>
      </c>
      <c r="D784" t="s">
        <v>22</v>
      </c>
      <c r="E784" t="s">
        <v>3195</v>
      </c>
      <c r="F784" t="s">
        <v>54</v>
      </c>
      <c r="G784" t="s">
        <v>414</v>
      </c>
      <c r="H784" t="s">
        <v>414</v>
      </c>
      <c r="I784" t="s">
        <v>39</v>
      </c>
      <c r="J784" t="s">
        <v>57</v>
      </c>
      <c r="K784" t="s">
        <v>3196</v>
      </c>
      <c r="L784" t="s">
        <v>146</v>
      </c>
      <c r="M784" t="s">
        <v>347</v>
      </c>
      <c r="N784" t="s">
        <v>1451</v>
      </c>
      <c r="O784" s="2">
        <v>67</v>
      </c>
      <c r="P784">
        <v>1</v>
      </c>
      <c r="Q784" s="3">
        <v>0.40200000000000002</v>
      </c>
      <c r="R784" s="2">
        <v>-44.064799999999998</v>
      </c>
      <c r="S784" s="2">
        <v>5.28</v>
      </c>
      <c r="T784" t="s">
        <v>99</v>
      </c>
      <c r="U784">
        <v>2012</v>
      </c>
    </row>
    <row r="785" spans="1:21" x14ac:dyDescent="0.3">
      <c r="A785" t="s">
        <v>3197</v>
      </c>
      <c r="B785" s="1">
        <v>41618</v>
      </c>
      <c r="C785" s="1">
        <v>41623</v>
      </c>
      <c r="D785" t="s">
        <v>22</v>
      </c>
      <c r="E785" t="s">
        <v>2937</v>
      </c>
      <c r="F785" t="s">
        <v>24</v>
      </c>
      <c r="G785" t="s">
        <v>3198</v>
      </c>
      <c r="H785" t="s">
        <v>48</v>
      </c>
      <c r="I785" t="s">
        <v>49</v>
      </c>
      <c r="J785" t="s">
        <v>40</v>
      </c>
      <c r="K785" t="s">
        <v>3199</v>
      </c>
      <c r="L785" t="s">
        <v>30</v>
      </c>
      <c r="M785" t="s">
        <v>90</v>
      </c>
      <c r="N785" t="s">
        <v>3007</v>
      </c>
      <c r="O785" s="2">
        <v>20</v>
      </c>
      <c r="P785">
        <v>1</v>
      </c>
      <c r="Q785" s="3">
        <v>0</v>
      </c>
      <c r="R785" s="2">
        <v>8.2799999999999994</v>
      </c>
      <c r="S785" s="2">
        <v>0.79</v>
      </c>
      <c r="T785" t="s">
        <v>33</v>
      </c>
      <c r="U785">
        <v>2013</v>
      </c>
    </row>
    <row r="786" spans="1:21" x14ac:dyDescent="0.3">
      <c r="A786" t="s">
        <v>3200</v>
      </c>
      <c r="B786" s="1">
        <v>41800</v>
      </c>
      <c r="C786" s="1">
        <v>41801</v>
      </c>
      <c r="D786" t="s">
        <v>84</v>
      </c>
      <c r="E786" t="s">
        <v>1540</v>
      </c>
      <c r="F786" t="s">
        <v>24</v>
      </c>
      <c r="G786" t="s">
        <v>569</v>
      </c>
      <c r="H786" t="s">
        <v>135</v>
      </c>
      <c r="I786" t="s">
        <v>136</v>
      </c>
      <c r="J786" t="s">
        <v>57</v>
      </c>
      <c r="K786" t="s">
        <v>3201</v>
      </c>
      <c r="L786" t="s">
        <v>30</v>
      </c>
      <c r="M786" t="s">
        <v>66</v>
      </c>
      <c r="N786" t="s">
        <v>3202</v>
      </c>
      <c r="O786" s="2">
        <v>721</v>
      </c>
      <c r="P786">
        <v>5</v>
      </c>
      <c r="Q786" s="3">
        <v>0.2</v>
      </c>
      <c r="R786" s="2">
        <v>54.057000000000002</v>
      </c>
      <c r="S786" s="2">
        <v>55.4</v>
      </c>
      <c r="T786" t="s">
        <v>33</v>
      </c>
      <c r="U786">
        <v>2014</v>
      </c>
    </row>
    <row r="787" spans="1:21" x14ac:dyDescent="0.3">
      <c r="A787" t="s">
        <v>3203</v>
      </c>
      <c r="B787" s="1">
        <v>41943</v>
      </c>
      <c r="C787" s="1">
        <v>41947</v>
      </c>
      <c r="D787" t="s">
        <v>22</v>
      </c>
      <c r="E787" t="s">
        <v>2844</v>
      </c>
      <c r="F787" t="s">
        <v>54</v>
      </c>
      <c r="G787" t="s">
        <v>574</v>
      </c>
      <c r="H787" t="s">
        <v>135</v>
      </c>
      <c r="I787" t="s">
        <v>136</v>
      </c>
      <c r="J787" t="s">
        <v>396</v>
      </c>
      <c r="K787" t="s">
        <v>3204</v>
      </c>
      <c r="L787" t="s">
        <v>30</v>
      </c>
      <c r="M787" t="s">
        <v>105</v>
      </c>
      <c r="N787" t="s">
        <v>3205</v>
      </c>
      <c r="O787" s="2">
        <v>21</v>
      </c>
      <c r="P787">
        <v>4</v>
      </c>
      <c r="Q787" s="3">
        <v>0.2</v>
      </c>
      <c r="R787" s="2">
        <v>7.2576000000000001</v>
      </c>
      <c r="S787" s="2">
        <v>3.29</v>
      </c>
      <c r="T787" t="s">
        <v>99</v>
      </c>
      <c r="U787">
        <v>2014</v>
      </c>
    </row>
    <row r="788" spans="1:21" x14ac:dyDescent="0.3">
      <c r="A788" t="s">
        <v>3206</v>
      </c>
      <c r="B788" s="1">
        <v>40796</v>
      </c>
      <c r="C788" s="1">
        <v>40802</v>
      </c>
      <c r="D788" t="s">
        <v>22</v>
      </c>
      <c r="E788" t="s">
        <v>2159</v>
      </c>
      <c r="F788" t="s">
        <v>54</v>
      </c>
      <c r="G788" t="s">
        <v>2384</v>
      </c>
      <c r="H788" t="s">
        <v>135</v>
      </c>
      <c r="I788" t="s">
        <v>136</v>
      </c>
      <c r="J788" t="s">
        <v>137</v>
      </c>
      <c r="K788" t="s">
        <v>3207</v>
      </c>
      <c r="L788" t="s">
        <v>30</v>
      </c>
      <c r="M788" t="s">
        <v>410</v>
      </c>
      <c r="N788" t="s">
        <v>3208</v>
      </c>
      <c r="O788" s="2">
        <v>22</v>
      </c>
      <c r="P788">
        <v>7</v>
      </c>
      <c r="Q788" s="3">
        <v>0.2</v>
      </c>
      <c r="R788" s="2">
        <v>7.6048</v>
      </c>
      <c r="S788" s="2">
        <v>1.1000000000000001</v>
      </c>
      <c r="T788" t="s">
        <v>33</v>
      </c>
      <c r="U788">
        <v>2011</v>
      </c>
    </row>
    <row r="789" spans="1:21" x14ac:dyDescent="0.3">
      <c r="A789" t="s">
        <v>3209</v>
      </c>
      <c r="B789" s="1">
        <v>41435</v>
      </c>
      <c r="C789" s="1">
        <v>41440</v>
      </c>
      <c r="D789" t="s">
        <v>22</v>
      </c>
      <c r="E789" t="s">
        <v>1431</v>
      </c>
      <c r="F789" t="s">
        <v>36</v>
      </c>
      <c r="G789" t="s">
        <v>3210</v>
      </c>
      <c r="H789" t="s">
        <v>3211</v>
      </c>
      <c r="I789" t="s">
        <v>117</v>
      </c>
      <c r="J789" t="s">
        <v>117</v>
      </c>
      <c r="K789" t="s">
        <v>3212</v>
      </c>
      <c r="L789" t="s">
        <v>30</v>
      </c>
      <c r="M789" t="s">
        <v>31</v>
      </c>
      <c r="N789" t="s">
        <v>3213</v>
      </c>
      <c r="O789" s="2">
        <v>8</v>
      </c>
      <c r="P789">
        <v>2</v>
      </c>
      <c r="Q789" s="3">
        <v>0</v>
      </c>
      <c r="R789" s="2">
        <v>0.84</v>
      </c>
      <c r="S789" s="2">
        <v>0.66</v>
      </c>
      <c r="T789" t="s">
        <v>33</v>
      </c>
      <c r="U789">
        <v>2013</v>
      </c>
    </row>
    <row r="790" spans="1:21" x14ac:dyDescent="0.3">
      <c r="A790" t="s">
        <v>3214</v>
      </c>
      <c r="B790" s="1">
        <v>41983</v>
      </c>
      <c r="C790" s="1">
        <v>41989</v>
      </c>
      <c r="D790" t="s">
        <v>22</v>
      </c>
      <c r="E790" t="s">
        <v>1782</v>
      </c>
      <c r="F790" t="s">
        <v>24</v>
      </c>
      <c r="G790" t="s">
        <v>1168</v>
      </c>
      <c r="H790" t="s">
        <v>110</v>
      </c>
      <c r="I790" t="s">
        <v>88</v>
      </c>
      <c r="J790" t="s">
        <v>88</v>
      </c>
      <c r="K790" t="s">
        <v>3215</v>
      </c>
      <c r="L790" t="s">
        <v>30</v>
      </c>
      <c r="M790" t="s">
        <v>97</v>
      </c>
      <c r="N790" t="s">
        <v>3216</v>
      </c>
      <c r="O790" s="2">
        <v>14</v>
      </c>
      <c r="P790">
        <v>1</v>
      </c>
      <c r="Q790" s="3">
        <v>0</v>
      </c>
      <c r="R790" s="2">
        <v>2.58</v>
      </c>
      <c r="S790" s="2">
        <v>0.4</v>
      </c>
      <c r="T790" t="s">
        <v>33</v>
      </c>
      <c r="U790">
        <v>2014</v>
      </c>
    </row>
    <row r="791" spans="1:21" x14ac:dyDescent="0.3">
      <c r="A791" t="s">
        <v>3099</v>
      </c>
      <c r="B791" s="1">
        <v>41569</v>
      </c>
      <c r="C791" s="1">
        <v>41574</v>
      </c>
      <c r="D791" t="s">
        <v>22</v>
      </c>
      <c r="E791" t="s">
        <v>757</v>
      </c>
      <c r="F791" t="s">
        <v>36</v>
      </c>
      <c r="G791" t="s">
        <v>3100</v>
      </c>
      <c r="H791" t="s">
        <v>269</v>
      </c>
      <c r="I791" t="s">
        <v>88</v>
      </c>
      <c r="J791" t="s">
        <v>88</v>
      </c>
      <c r="K791" t="s">
        <v>3217</v>
      </c>
      <c r="L791" t="s">
        <v>30</v>
      </c>
      <c r="M791" t="s">
        <v>90</v>
      </c>
      <c r="N791" t="s">
        <v>3218</v>
      </c>
      <c r="O791" s="2">
        <v>52</v>
      </c>
      <c r="P791">
        <v>1</v>
      </c>
      <c r="Q791" s="3">
        <v>0</v>
      </c>
      <c r="R791" s="2">
        <v>8.76</v>
      </c>
      <c r="S791" s="2">
        <v>5.29</v>
      </c>
      <c r="T791" t="s">
        <v>33</v>
      </c>
      <c r="U791">
        <v>2013</v>
      </c>
    </row>
    <row r="792" spans="1:21" x14ac:dyDescent="0.3">
      <c r="A792" t="s">
        <v>3219</v>
      </c>
      <c r="B792" s="1">
        <v>41935</v>
      </c>
      <c r="C792" s="1">
        <v>41938</v>
      </c>
      <c r="D792" t="s">
        <v>84</v>
      </c>
      <c r="E792" t="s">
        <v>3220</v>
      </c>
      <c r="F792" t="s">
        <v>54</v>
      </c>
      <c r="G792" t="s">
        <v>3221</v>
      </c>
      <c r="H792" t="s">
        <v>269</v>
      </c>
      <c r="I792" t="s">
        <v>88</v>
      </c>
      <c r="J792" t="s">
        <v>88</v>
      </c>
      <c r="K792" t="s">
        <v>3222</v>
      </c>
      <c r="L792" t="s">
        <v>30</v>
      </c>
      <c r="M792" t="s">
        <v>31</v>
      </c>
      <c r="N792" t="s">
        <v>3223</v>
      </c>
      <c r="O792" s="2">
        <v>50</v>
      </c>
      <c r="P792">
        <v>1</v>
      </c>
      <c r="Q792" s="3">
        <v>0</v>
      </c>
      <c r="R792" s="2">
        <v>10.5</v>
      </c>
      <c r="S792" s="2">
        <v>12.23</v>
      </c>
      <c r="T792" t="s">
        <v>68</v>
      </c>
      <c r="U792">
        <v>2014</v>
      </c>
    </row>
    <row r="793" spans="1:21" x14ac:dyDescent="0.3">
      <c r="A793" t="s">
        <v>3224</v>
      </c>
      <c r="B793" s="1">
        <v>41575</v>
      </c>
      <c r="C793" s="1">
        <v>41577</v>
      </c>
      <c r="D793" t="s">
        <v>84</v>
      </c>
      <c r="E793" t="s">
        <v>2063</v>
      </c>
      <c r="F793" t="s">
        <v>54</v>
      </c>
      <c r="G793" t="s">
        <v>2327</v>
      </c>
      <c r="H793" t="s">
        <v>103</v>
      </c>
      <c r="I793" t="s">
        <v>39</v>
      </c>
      <c r="J793" t="s">
        <v>57</v>
      </c>
      <c r="K793" t="s">
        <v>3225</v>
      </c>
      <c r="L793" t="s">
        <v>30</v>
      </c>
      <c r="M793" t="s">
        <v>31</v>
      </c>
      <c r="N793" t="s">
        <v>3226</v>
      </c>
      <c r="O793" s="2">
        <v>22</v>
      </c>
      <c r="P793">
        <v>7</v>
      </c>
      <c r="Q793" s="3">
        <v>0.4</v>
      </c>
      <c r="R793" s="2">
        <v>-6.72</v>
      </c>
      <c r="S793" s="2">
        <v>7.08</v>
      </c>
      <c r="T793" t="s">
        <v>68</v>
      </c>
      <c r="U793">
        <v>2013</v>
      </c>
    </row>
    <row r="794" spans="1:21" x14ac:dyDescent="0.3">
      <c r="A794" t="s">
        <v>3227</v>
      </c>
      <c r="B794" s="1">
        <v>41983</v>
      </c>
      <c r="C794" s="1">
        <v>41985</v>
      </c>
      <c r="D794" t="s">
        <v>45</v>
      </c>
      <c r="E794" t="s">
        <v>1419</v>
      </c>
      <c r="F794" t="s">
        <v>36</v>
      </c>
      <c r="G794" t="s">
        <v>37</v>
      </c>
      <c r="H794" t="s">
        <v>38</v>
      </c>
      <c r="I794" t="s">
        <v>39</v>
      </c>
      <c r="J794" t="s">
        <v>40</v>
      </c>
      <c r="K794" t="s">
        <v>3228</v>
      </c>
      <c r="L794" t="s">
        <v>59</v>
      </c>
      <c r="M794" t="s">
        <v>339</v>
      </c>
      <c r="N794" t="s">
        <v>3229</v>
      </c>
      <c r="O794" s="2">
        <v>576</v>
      </c>
      <c r="P794">
        <v>5</v>
      </c>
      <c r="Q794" s="3">
        <v>0</v>
      </c>
      <c r="R794" s="2">
        <v>242</v>
      </c>
      <c r="S794" s="2">
        <v>150.88</v>
      </c>
      <c r="T794" t="s">
        <v>68</v>
      </c>
      <c r="U794">
        <v>2014</v>
      </c>
    </row>
    <row r="795" spans="1:21" x14ac:dyDescent="0.3">
      <c r="A795" t="s">
        <v>3230</v>
      </c>
      <c r="B795" s="1">
        <v>40831</v>
      </c>
      <c r="C795" s="1">
        <v>40836</v>
      </c>
      <c r="D795" t="s">
        <v>22</v>
      </c>
      <c r="E795" t="s">
        <v>1919</v>
      </c>
      <c r="F795" t="s">
        <v>54</v>
      </c>
      <c r="G795" t="s">
        <v>1105</v>
      </c>
      <c r="H795" t="s">
        <v>135</v>
      </c>
      <c r="I795" t="s">
        <v>136</v>
      </c>
      <c r="J795" t="s">
        <v>40</v>
      </c>
      <c r="K795" t="s">
        <v>3231</v>
      </c>
      <c r="L795" t="s">
        <v>59</v>
      </c>
      <c r="M795" t="s">
        <v>60</v>
      </c>
      <c r="N795" t="s">
        <v>3232</v>
      </c>
      <c r="O795" s="2">
        <v>15</v>
      </c>
      <c r="P795">
        <v>1</v>
      </c>
      <c r="Q795" s="3">
        <v>0.2</v>
      </c>
      <c r="R795" s="2">
        <v>4.0382999999999996</v>
      </c>
      <c r="S795" s="2">
        <v>0.62</v>
      </c>
      <c r="T795" t="s">
        <v>99</v>
      </c>
      <c r="U795">
        <v>2011</v>
      </c>
    </row>
    <row r="796" spans="1:21" x14ac:dyDescent="0.3">
      <c r="A796" t="s">
        <v>3233</v>
      </c>
      <c r="B796" s="1">
        <v>41939</v>
      </c>
      <c r="C796" s="1">
        <v>41946</v>
      </c>
      <c r="D796" t="s">
        <v>22</v>
      </c>
      <c r="E796" t="s">
        <v>3234</v>
      </c>
      <c r="F796" t="s">
        <v>24</v>
      </c>
      <c r="G796" t="s">
        <v>1967</v>
      </c>
      <c r="H796" t="s">
        <v>316</v>
      </c>
      <c r="I796" t="s">
        <v>27</v>
      </c>
      <c r="J796" t="s">
        <v>212</v>
      </c>
      <c r="K796" t="s">
        <v>3131</v>
      </c>
      <c r="L796" t="s">
        <v>146</v>
      </c>
      <c r="M796" t="s">
        <v>147</v>
      </c>
      <c r="N796" t="s">
        <v>3132</v>
      </c>
      <c r="O796" s="2">
        <v>224</v>
      </c>
      <c r="P796">
        <v>2</v>
      </c>
      <c r="Q796" s="3">
        <v>0.1</v>
      </c>
      <c r="R796" s="2">
        <v>34.841999999999999</v>
      </c>
      <c r="S796" s="2">
        <v>21.23</v>
      </c>
      <c r="T796" t="s">
        <v>33</v>
      </c>
      <c r="U796">
        <v>2014</v>
      </c>
    </row>
    <row r="797" spans="1:21" x14ac:dyDescent="0.3">
      <c r="A797" t="s">
        <v>3235</v>
      </c>
      <c r="B797" s="1">
        <v>40553</v>
      </c>
      <c r="C797" s="1">
        <v>40558</v>
      </c>
      <c r="D797" t="s">
        <v>22</v>
      </c>
      <c r="E797" t="s">
        <v>3236</v>
      </c>
      <c r="F797" t="s">
        <v>54</v>
      </c>
      <c r="G797" t="s">
        <v>1956</v>
      </c>
      <c r="H797" t="s">
        <v>1147</v>
      </c>
      <c r="I797" t="s">
        <v>39</v>
      </c>
      <c r="J797" t="s">
        <v>129</v>
      </c>
      <c r="K797" t="s">
        <v>3237</v>
      </c>
      <c r="L797" t="s">
        <v>30</v>
      </c>
      <c r="M797" t="s">
        <v>370</v>
      </c>
      <c r="N797" t="s">
        <v>2276</v>
      </c>
      <c r="O797" s="2">
        <v>16</v>
      </c>
      <c r="P797">
        <v>1</v>
      </c>
      <c r="Q797" s="3">
        <v>0</v>
      </c>
      <c r="R797" s="2">
        <v>1.76</v>
      </c>
      <c r="S797" s="2">
        <v>0.89</v>
      </c>
      <c r="T797" t="s">
        <v>33</v>
      </c>
      <c r="U797">
        <v>2011</v>
      </c>
    </row>
    <row r="798" spans="1:21" x14ac:dyDescent="0.3">
      <c r="A798" t="s">
        <v>3238</v>
      </c>
      <c r="B798" s="1">
        <v>41564</v>
      </c>
      <c r="C798" s="1">
        <v>41569</v>
      </c>
      <c r="D798" t="s">
        <v>45</v>
      </c>
      <c r="E798" t="s">
        <v>198</v>
      </c>
      <c r="F798" t="s">
        <v>24</v>
      </c>
      <c r="G798" t="s">
        <v>127</v>
      </c>
      <c r="H798" t="s">
        <v>128</v>
      </c>
      <c r="I798" t="s">
        <v>49</v>
      </c>
      <c r="J798" t="s">
        <v>129</v>
      </c>
      <c r="K798" t="s">
        <v>3239</v>
      </c>
      <c r="L798" t="s">
        <v>30</v>
      </c>
      <c r="M798" t="s">
        <v>90</v>
      </c>
      <c r="N798" t="s">
        <v>3240</v>
      </c>
      <c r="O798" s="2">
        <v>53</v>
      </c>
      <c r="P798">
        <v>2</v>
      </c>
      <c r="Q798" s="3">
        <v>0</v>
      </c>
      <c r="R798" s="2">
        <v>14.94</v>
      </c>
      <c r="S798" s="2">
        <v>5.85</v>
      </c>
      <c r="T798" t="s">
        <v>33</v>
      </c>
      <c r="U798">
        <v>2013</v>
      </c>
    </row>
    <row r="799" spans="1:21" x14ac:dyDescent="0.3">
      <c r="A799" t="s">
        <v>3241</v>
      </c>
      <c r="B799" s="1">
        <v>41926</v>
      </c>
      <c r="C799" s="1">
        <v>41931</v>
      </c>
      <c r="D799" t="s">
        <v>22</v>
      </c>
      <c r="E799" t="s">
        <v>1357</v>
      </c>
      <c r="F799" t="s">
        <v>36</v>
      </c>
      <c r="G799" t="s">
        <v>1572</v>
      </c>
      <c r="H799" t="s">
        <v>1573</v>
      </c>
      <c r="I799" t="s">
        <v>27</v>
      </c>
      <c r="J799" t="s">
        <v>28</v>
      </c>
      <c r="K799" t="s">
        <v>3242</v>
      </c>
      <c r="L799" t="s">
        <v>30</v>
      </c>
      <c r="M799" t="s">
        <v>31</v>
      </c>
      <c r="N799" t="s">
        <v>2085</v>
      </c>
      <c r="O799" s="2">
        <v>22</v>
      </c>
      <c r="P799">
        <v>3</v>
      </c>
      <c r="Q799" s="3">
        <v>0</v>
      </c>
      <c r="R799" s="2">
        <v>7.92</v>
      </c>
      <c r="S799" s="2">
        <v>1.72</v>
      </c>
      <c r="T799" t="s">
        <v>33</v>
      </c>
      <c r="U799">
        <v>2014</v>
      </c>
    </row>
    <row r="800" spans="1:21" x14ac:dyDescent="0.3">
      <c r="A800" t="s">
        <v>3243</v>
      </c>
      <c r="B800" s="1">
        <v>41564</v>
      </c>
      <c r="C800" s="1">
        <v>41567</v>
      </c>
      <c r="D800" t="s">
        <v>84</v>
      </c>
      <c r="E800" t="s">
        <v>1057</v>
      </c>
      <c r="F800" t="s">
        <v>54</v>
      </c>
      <c r="G800" t="s">
        <v>1270</v>
      </c>
      <c r="H800" t="s">
        <v>1147</v>
      </c>
      <c r="I800" t="s">
        <v>39</v>
      </c>
      <c r="J800" t="s">
        <v>129</v>
      </c>
      <c r="K800" t="s">
        <v>3244</v>
      </c>
      <c r="L800" t="s">
        <v>59</v>
      </c>
      <c r="M800" t="s">
        <v>329</v>
      </c>
      <c r="N800" t="s">
        <v>730</v>
      </c>
      <c r="O800" s="2">
        <v>168</v>
      </c>
      <c r="P800">
        <v>1</v>
      </c>
      <c r="Q800" s="3">
        <v>0.2</v>
      </c>
      <c r="R800" s="2">
        <v>-40.015999999999998</v>
      </c>
      <c r="S800" s="2">
        <v>14.77</v>
      </c>
      <c r="T800" t="s">
        <v>33</v>
      </c>
      <c r="U800">
        <v>2013</v>
      </c>
    </row>
    <row r="801" spans="1:21" x14ac:dyDescent="0.3">
      <c r="A801" t="s">
        <v>3245</v>
      </c>
      <c r="B801" s="1">
        <v>41892</v>
      </c>
      <c r="C801" s="1">
        <v>41896</v>
      </c>
      <c r="D801" t="s">
        <v>22</v>
      </c>
      <c r="E801" t="s">
        <v>3246</v>
      </c>
      <c r="F801" t="s">
        <v>36</v>
      </c>
      <c r="G801" t="s">
        <v>3247</v>
      </c>
      <c r="H801" t="s">
        <v>87</v>
      </c>
      <c r="I801" t="s">
        <v>88</v>
      </c>
      <c r="J801" t="s">
        <v>88</v>
      </c>
      <c r="K801" t="s">
        <v>3248</v>
      </c>
      <c r="L801" t="s">
        <v>30</v>
      </c>
      <c r="M801" t="s">
        <v>66</v>
      </c>
      <c r="N801" t="s">
        <v>3089</v>
      </c>
      <c r="O801" s="2">
        <v>18</v>
      </c>
      <c r="P801">
        <v>2</v>
      </c>
      <c r="Q801" s="3">
        <v>0.6</v>
      </c>
      <c r="R801" s="2">
        <v>-22.128</v>
      </c>
      <c r="S801" s="2">
        <v>2.2000000000000002</v>
      </c>
      <c r="T801" t="s">
        <v>99</v>
      </c>
      <c r="U801">
        <v>2014</v>
      </c>
    </row>
    <row r="802" spans="1:21" x14ac:dyDescent="0.3">
      <c r="A802" t="s">
        <v>3249</v>
      </c>
      <c r="B802" s="1">
        <v>41571</v>
      </c>
      <c r="C802" s="1">
        <v>41572</v>
      </c>
      <c r="D802" t="s">
        <v>84</v>
      </c>
      <c r="E802" t="s">
        <v>968</v>
      </c>
      <c r="F802" t="s">
        <v>24</v>
      </c>
      <c r="G802" t="s">
        <v>1098</v>
      </c>
      <c r="H802" t="s">
        <v>72</v>
      </c>
      <c r="I802" t="s">
        <v>27</v>
      </c>
      <c r="J802" t="s">
        <v>73</v>
      </c>
      <c r="K802" t="s">
        <v>3250</v>
      </c>
      <c r="L802" t="s">
        <v>30</v>
      </c>
      <c r="M802" t="s">
        <v>105</v>
      </c>
      <c r="N802" t="s">
        <v>3251</v>
      </c>
      <c r="O802" s="2">
        <v>76</v>
      </c>
      <c r="P802">
        <v>3</v>
      </c>
      <c r="Q802" s="3">
        <v>0</v>
      </c>
      <c r="R802" s="2">
        <v>2.25</v>
      </c>
      <c r="S802" s="2">
        <v>5.0599999999999996</v>
      </c>
      <c r="T802" t="s">
        <v>99</v>
      </c>
      <c r="U802">
        <v>2013</v>
      </c>
    </row>
    <row r="803" spans="1:21" x14ac:dyDescent="0.3">
      <c r="A803" t="s">
        <v>3252</v>
      </c>
      <c r="B803" s="1">
        <v>40843</v>
      </c>
      <c r="C803" s="1">
        <v>40849</v>
      </c>
      <c r="D803" t="s">
        <v>22</v>
      </c>
      <c r="E803" t="s">
        <v>3253</v>
      </c>
      <c r="F803" t="s">
        <v>54</v>
      </c>
      <c r="G803" t="s">
        <v>3254</v>
      </c>
      <c r="H803" t="s">
        <v>87</v>
      </c>
      <c r="I803" t="s">
        <v>88</v>
      </c>
      <c r="J803" t="s">
        <v>88</v>
      </c>
      <c r="K803" t="s">
        <v>3255</v>
      </c>
      <c r="L803" t="s">
        <v>146</v>
      </c>
      <c r="M803" t="s">
        <v>195</v>
      </c>
      <c r="N803" t="s">
        <v>3256</v>
      </c>
      <c r="O803" s="2">
        <v>130</v>
      </c>
      <c r="P803">
        <v>2</v>
      </c>
      <c r="Q803" s="3">
        <v>0.6</v>
      </c>
      <c r="R803" s="2">
        <v>-142.512</v>
      </c>
      <c r="S803" s="2">
        <v>4.2</v>
      </c>
      <c r="T803" t="s">
        <v>33</v>
      </c>
      <c r="U803">
        <v>2011</v>
      </c>
    </row>
    <row r="804" spans="1:21" x14ac:dyDescent="0.3">
      <c r="A804" t="s">
        <v>3257</v>
      </c>
      <c r="B804" s="1">
        <v>41739</v>
      </c>
      <c r="C804" s="1">
        <v>41741</v>
      </c>
      <c r="D804" t="s">
        <v>45</v>
      </c>
      <c r="E804" t="s">
        <v>3258</v>
      </c>
      <c r="F804" t="s">
        <v>54</v>
      </c>
      <c r="G804" t="s">
        <v>127</v>
      </c>
      <c r="H804" t="s">
        <v>128</v>
      </c>
      <c r="I804" t="s">
        <v>49</v>
      </c>
      <c r="J804" t="s">
        <v>129</v>
      </c>
      <c r="K804" t="s">
        <v>3259</v>
      </c>
      <c r="L804" t="s">
        <v>146</v>
      </c>
      <c r="M804" t="s">
        <v>147</v>
      </c>
      <c r="N804" t="s">
        <v>514</v>
      </c>
      <c r="O804" s="2">
        <v>509</v>
      </c>
      <c r="P804">
        <v>3</v>
      </c>
      <c r="Q804" s="3">
        <v>0</v>
      </c>
      <c r="R804" s="2">
        <v>91.62</v>
      </c>
      <c r="S804" s="2">
        <v>69.56</v>
      </c>
      <c r="T804" t="s">
        <v>68</v>
      </c>
      <c r="U804">
        <v>2014</v>
      </c>
    </row>
    <row r="805" spans="1:21" x14ac:dyDescent="0.3">
      <c r="A805" t="s">
        <v>3260</v>
      </c>
      <c r="B805" s="1">
        <v>41198</v>
      </c>
      <c r="C805" s="1">
        <v>41202</v>
      </c>
      <c r="D805" t="s">
        <v>22</v>
      </c>
      <c r="E805" t="s">
        <v>2035</v>
      </c>
      <c r="F805" t="s">
        <v>54</v>
      </c>
      <c r="G805" t="s">
        <v>548</v>
      </c>
      <c r="H805" t="s">
        <v>48</v>
      </c>
      <c r="I805" t="s">
        <v>49</v>
      </c>
      <c r="J805" t="s">
        <v>40</v>
      </c>
      <c r="K805" t="s">
        <v>503</v>
      </c>
      <c r="L805" t="s">
        <v>146</v>
      </c>
      <c r="M805" t="s">
        <v>195</v>
      </c>
      <c r="N805" t="s">
        <v>504</v>
      </c>
      <c r="O805" s="2">
        <v>362</v>
      </c>
      <c r="P805">
        <v>7</v>
      </c>
      <c r="Q805" s="3">
        <v>0.4</v>
      </c>
      <c r="R805" s="2">
        <v>-120.792</v>
      </c>
      <c r="S805" s="2">
        <v>36.9</v>
      </c>
      <c r="T805" t="s">
        <v>99</v>
      </c>
      <c r="U805">
        <v>2012</v>
      </c>
    </row>
    <row r="806" spans="1:21" x14ac:dyDescent="0.3">
      <c r="A806" t="s">
        <v>3261</v>
      </c>
      <c r="B806" s="1">
        <v>41199</v>
      </c>
      <c r="C806" s="1">
        <v>41203</v>
      </c>
      <c r="D806" t="s">
        <v>22</v>
      </c>
      <c r="E806" t="s">
        <v>853</v>
      </c>
      <c r="F806" t="s">
        <v>54</v>
      </c>
      <c r="G806" t="s">
        <v>534</v>
      </c>
      <c r="H806" t="s">
        <v>110</v>
      </c>
      <c r="I806" t="s">
        <v>88</v>
      </c>
      <c r="J806" t="s">
        <v>88</v>
      </c>
      <c r="K806" t="s">
        <v>3262</v>
      </c>
      <c r="L806" t="s">
        <v>146</v>
      </c>
      <c r="M806" t="s">
        <v>347</v>
      </c>
      <c r="N806" t="s">
        <v>386</v>
      </c>
      <c r="O806" s="2">
        <v>121</v>
      </c>
      <c r="P806">
        <v>1</v>
      </c>
      <c r="Q806" s="3">
        <v>0</v>
      </c>
      <c r="R806" s="2">
        <v>32.76</v>
      </c>
      <c r="S806" s="2">
        <v>5.27</v>
      </c>
      <c r="T806" t="s">
        <v>33</v>
      </c>
      <c r="U806">
        <v>2012</v>
      </c>
    </row>
    <row r="807" spans="1:21" x14ac:dyDescent="0.3">
      <c r="A807" t="s">
        <v>3263</v>
      </c>
      <c r="B807" s="1">
        <v>41769</v>
      </c>
      <c r="C807" s="1">
        <v>41772</v>
      </c>
      <c r="D807" t="s">
        <v>84</v>
      </c>
      <c r="E807" t="s">
        <v>1987</v>
      </c>
      <c r="F807" t="s">
        <v>54</v>
      </c>
      <c r="G807" t="s">
        <v>1136</v>
      </c>
      <c r="H807" t="s">
        <v>435</v>
      </c>
      <c r="I807" t="s">
        <v>117</v>
      </c>
      <c r="J807" t="s">
        <v>117</v>
      </c>
      <c r="K807" t="s">
        <v>754</v>
      </c>
      <c r="L807" t="s">
        <v>30</v>
      </c>
      <c r="M807" t="s">
        <v>31</v>
      </c>
      <c r="N807" t="s">
        <v>755</v>
      </c>
      <c r="O807" s="2">
        <v>28</v>
      </c>
      <c r="P807">
        <v>2</v>
      </c>
      <c r="Q807" s="3">
        <v>0</v>
      </c>
      <c r="R807" s="2">
        <v>10.199999999999999</v>
      </c>
      <c r="S807" s="2">
        <v>3.41</v>
      </c>
      <c r="T807" t="s">
        <v>33</v>
      </c>
      <c r="U807">
        <v>2014</v>
      </c>
    </row>
    <row r="808" spans="1:21" x14ac:dyDescent="0.3">
      <c r="A808" t="s">
        <v>3264</v>
      </c>
      <c r="B808" s="1">
        <v>41374</v>
      </c>
      <c r="C808" s="1">
        <v>41380</v>
      </c>
      <c r="D808" t="s">
        <v>22</v>
      </c>
      <c r="E808" t="s">
        <v>1864</v>
      </c>
      <c r="F808" t="s">
        <v>36</v>
      </c>
      <c r="G808" t="s">
        <v>337</v>
      </c>
      <c r="H808" t="s">
        <v>316</v>
      </c>
      <c r="I808" t="s">
        <v>27</v>
      </c>
      <c r="J808" t="s">
        <v>212</v>
      </c>
      <c r="K808" t="s">
        <v>3265</v>
      </c>
      <c r="L808" t="s">
        <v>30</v>
      </c>
      <c r="M808" t="s">
        <v>66</v>
      </c>
      <c r="N808" t="s">
        <v>3266</v>
      </c>
      <c r="O808" s="2">
        <v>743</v>
      </c>
      <c r="P808">
        <v>4</v>
      </c>
      <c r="Q808" s="3">
        <v>0.1</v>
      </c>
      <c r="R808" s="2">
        <v>181.56</v>
      </c>
      <c r="S808" s="2">
        <v>13.49</v>
      </c>
      <c r="T808" t="s">
        <v>33</v>
      </c>
      <c r="U808">
        <v>2013</v>
      </c>
    </row>
    <row r="809" spans="1:21" x14ac:dyDescent="0.3">
      <c r="A809" t="s">
        <v>3267</v>
      </c>
      <c r="B809" s="1">
        <v>41576</v>
      </c>
      <c r="C809" s="1">
        <v>41582</v>
      </c>
      <c r="D809" t="s">
        <v>22</v>
      </c>
      <c r="E809" t="s">
        <v>784</v>
      </c>
      <c r="F809" t="s">
        <v>24</v>
      </c>
      <c r="G809" t="s">
        <v>2482</v>
      </c>
      <c r="H809" t="s">
        <v>135</v>
      </c>
      <c r="I809" t="s">
        <v>136</v>
      </c>
      <c r="J809" t="s">
        <v>396</v>
      </c>
      <c r="K809" t="s">
        <v>3268</v>
      </c>
      <c r="L809" t="s">
        <v>30</v>
      </c>
      <c r="M809" t="s">
        <v>31</v>
      </c>
      <c r="N809" t="s">
        <v>3269</v>
      </c>
      <c r="O809" s="2">
        <v>14</v>
      </c>
      <c r="P809">
        <v>1</v>
      </c>
      <c r="Q809" s="3">
        <v>0</v>
      </c>
      <c r="R809" s="2">
        <v>6.5688000000000004</v>
      </c>
      <c r="S809" s="2">
        <v>0.87</v>
      </c>
      <c r="T809" t="s">
        <v>33</v>
      </c>
      <c r="U809">
        <v>2013</v>
      </c>
    </row>
    <row r="810" spans="1:21" x14ac:dyDescent="0.3">
      <c r="A810" t="s">
        <v>3270</v>
      </c>
      <c r="B810" s="1">
        <v>41568</v>
      </c>
      <c r="C810" s="1">
        <v>41573</v>
      </c>
      <c r="D810" t="s">
        <v>45</v>
      </c>
      <c r="E810" t="s">
        <v>3271</v>
      </c>
      <c r="F810" t="s">
        <v>24</v>
      </c>
      <c r="G810" t="s">
        <v>389</v>
      </c>
      <c r="H810" t="s">
        <v>390</v>
      </c>
      <c r="I810" t="s">
        <v>39</v>
      </c>
      <c r="J810" t="s">
        <v>57</v>
      </c>
      <c r="K810" t="s">
        <v>3272</v>
      </c>
      <c r="L810" t="s">
        <v>30</v>
      </c>
      <c r="M810" t="s">
        <v>410</v>
      </c>
      <c r="N810" t="s">
        <v>3273</v>
      </c>
      <c r="O810" s="2">
        <v>47</v>
      </c>
      <c r="P810">
        <v>3</v>
      </c>
      <c r="Q810" s="3">
        <v>0</v>
      </c>
      <c r="R810" s="2">
        <v>7.98</v>
      </c>
      <c r="S810" s="2">
        <v>4.26</v>
      </c>
      <c r="T810" t="s">
        <v>33</v>
      </c>
      <c r="U810">
        <v>2013</v>
      </c>
    </row>
    <row r="811" spans="1:21" x14ac:dyDescent="0.3">
      <c r="A811" t="s">
        <v>3274</v>
      </c>
      <c r="B811" s="1">
        <v>41563</v>
      </c>
      <c r="C811" s="1">
        <v>41565</v>
      </c>
      <c r="D811" t="s">
        <v>84</v>
      </c>
      <c r="E811" t="s">
        <v>3275</v>
      </c>
      <c r="F811" t="s">
        <v>36</v>
      </c>
      <c r="G811" t="s">
        <v>662</v>
      </c>
      <c r="H811" t="s">
        <v>316</v>
      </c>
      <c r="I811" t="s">
        <v>27</v>
      </c>
      <c r="J811" t="s">
        <v>212</v>
      </c>
      <c r="K811" t="s">
        <v>3276</v>
      </c>
      <c r="L811" t="s">
        <v>146</v>
      </c>
      <c r="M811" t="s">
        <v>271</v>
      </c>
      <c r="N811" t="s">
        <v>3277</v>
      </c>
      <c r="O811" s="2">
        <v>38</v>
      </c>
      <c r="P811">
        <v>2</v>
      </c>
      <c r="Q811" s="3">
        <v>0.4</v>
      </c>
      <c r="R811" s="2">
        <v>-5.1479999999999997</v>
      </c>
      <c r="S811" s="2">
        <v>6.5</v>
      </c>
      <c r="T811" t="s">
        <v>99</v>
      </c>
      <c r="U811">
        <v>2013</v>
      </c>
    </row>
    <row r="812" spans="1:21" x14ac:dyDescent="0.3">
      <c r="A812" t="s">
        <v>3278</v>
      </c>
      <c r="B812" s="1">
        <v>40840</v>
      </c>
      <c r="C812" s="1">
        <v>40844</v>
      </c>
      <c r="D812" t="s">
        <v>45</v>
      </c>
      <c r="E812" t="s">
        <v>2453</v>
      </c>
      <c r="F812" t="s">
        <v>54</v>
      </c>
      <c r="G812" t="s">
        <v>2327</v>
      </c>
      <c r="H812" t="s">
        <v>103</v>
      </c>
      <c r="I812" t="s">
        <v>39</v>
      </c>
      <c r="J812" t="s">
        <v>57</v>
      </c>
      <c r="K812" t="s">
        <v>3279</v>
      </c>
      <c r="L812" t="s">
        <v>30</v>
      </c>
      <c r="M812" t="s">
        <v>75</v>
      </c>
      <c r="N812" t="s">
        <v>2377</v>
      </c>
      <c r="O812" s="2">
        <v>24</v>
      </c>
      <c r="P812">
        <v>7</v>
      </c>
      <c r="Q812" s="3">
        <v>0.4</v>
      </c>
      <c r="R812" s="2">
        <v>-8.26</v>
      </c>
      <c r="S812" s="2">
        <v>2.02</v>
      </c>
      <c r="T812" t="s">
        <v>33</v>
      </c>
      <c r="U812">
        <v>2011</v>
      </c>
    </row>
    <row r="813" spans="1:21" x14ac:dyDescent="0.3">
      <c r="A813" t="s">
        <v>3280</v>
      </c>
      <c r="B813" s="1">
        <v>41212</v>
      </c>
      <c r="C813" s="1">
        <v>41217</v>
      </c>
      <c r="D813" t="s">
        <v>22</v>
      </c>
      <c r="E813" t="s">
        <v>3281</v>
      </c>
      <c r="F813" t="s">
        <v>24</v>
      </c>
      <c r="G813" t="s">
        <v>2487</v>
      </c>
      <c r="H813" t="s">
        <v>56</v>
      </c>
      <c r="I813" t="s">
        <v>49</v>
      </c>
      <c r="J813" t="s">
        <v>57</v>
      </c>
      <c r="K813" t="s">
        <v>3282</v>
      </c>
      <c r="L813" t="s">
        <v>30</v>
      </c>
      <c r="M813" t="s">
        <v>42</v>
      </c>
      <c r="N813" t="s">
        <v>404</v>
      </c>
      <c r="O813" s="2">
        <v>225</v>
      </c>
      <c r="P813">
        <v>3</v>
      </c>
      <c r="Q813" s="3">
        <v>0.1</v>
      </c>
      <c r="R813" s="2">
        <v>75.042000000000002</v>
      </c>
      <c r="S813" s="2">
        <v>26.44</v>
      </c>
      <c r="T813" t="s">
        <v>33</v>
      </c>
      <c r="U813">
        <v>2012</v>
      </c>
    </row>
    <row r="814" spans="1:21" x14ac:dyDescent="0.3">
      <c r="A814" t="s">
        <v>3283</v>
      </c>
      <c r="B814" s="1">
        <v>40833</v>
      </c>
      <c r="C814" s="1">
        <v>40838</v>
      </c>
      <c r="D814" t="s">
        <v>45</v>
      </c>
      <c r="E814" t="s">
        <v>867</v>
      </c>
      <c r="F814" t="s">
        <v>54</v>
      </c>
      <c r="G814" t="s">
        <v>569</v>
      </c>
      <c r="H814" t="s">
        <v>135</v>
      </c>
      <c r="I814" t="s">
        <v>136</v>
      </c>
      <c r="J814" t="s">
        <v>57</v>
      </c>
      <c r="K814" t="s">
        <v>3284</v>
      </c>
      <c r="L814" t="s">
        <v>146</v>
      </c>
      <c r="M814" t="s">
        <v>271</v>
      </c>
      <c r="N814" t="s">
        <v>3285</v>
      </c>
      <c r="O814" s="2">
        <v>120</v>
      </c>
      <c r="P814">
        <v>3</v>
      </c>
      <c r="Q814" s="3">
        <v>0.2</v>
      </c>
      <c r="R814" s="2">
        <v>-17.996400000000001</v>
      </c>
      <c r="S814" s="2">
        <v>10.86</v>
      </c>
      <c r="T814" t="s">
        <v>33</v>
      </c>
      <c r="U814">
        <v>2011</v>
      </c>
    </row>
    <row r="815" spans="1:21" x14ac:dyDescent="0.3">
      <c r="A815" t="s">
        <v>3286</v>
      </c>
      <c r="B815" s="1">
        <v>41223</v>
      </c>
      <c r="C815" s="1">
        <v>41227</v>
      </c>
      <c r="D815" t="s">
        <v>45</v>
      </c>
      <c r="E815" t="s">
        <v>2733</v>
      </c>
      <c r="F815" t="s">
        <v>24</v>
      </c>
      <c r="G815" t="s">
        <v>806</v>
      </c>
      <c r="H815" t="s">
        <v>135</v>
      </c>
      <c r="I815" t="s">
        <v>136</v>
      </c>
      <c r="J815" t="s">
        <v>57</v>
      </c>
      <c r="K815" t="s">
        <v>3287</v>
      </c>
      <c r="L815" t="s">
        <v>30</v>
      </c>
      <c r="M815" t="s">
        <v>66</v>
      </c>
      <c r="N815" t="s">
        <v>3288</v>
      </c>
      <c r="O815" s="2">
        <v>714</v>
      </c>
      <c r="P815">
        <v>5</v>
      </c>
      <c r="Q815" s="3">
        <v>0</v>
      </c>
      <c r="R815" s="2">
        <v>207.14699999999999</v>
      </c>
      <c r="S815" s="2">
        <v>60.51</v>
      </c>
      <c r="T815" t="s">
        <v>99</v>
      </c>
      <c r="U815">
        <v>2012</v>
      </c>
    </row>
    <row r="816" spans="1:21" x14ac:dyDescent="0.3">
      <c r="A816" t="s">
        <v>3289</v>
      </c>
      <c r="B816" s="1">
        <v>41561</v>
      </c>
      <c r="C816" s="1">
        <v>41567</v>
      </c>
      <c r="D816" t="s">
        <v>22</v>
      </c>
      <c r="E816" t="s">
        <v>3290</v>
      </c>
      <c r="F816" t="s">
        <v>54</v>
      </c>
      <c r="G816" t="s">
        <v>569</v>
      </c>
      <c r="H816" t="s">
        <v>135</v>
      </c>
      <c r="I816" t="s">
        <v>136</v>
      </c>
      <c r="J816" t="s">
        <v>57</v>
      </c>
      <c r="K816" t="s">
        <v>361</v>
      </c>
      <c r="L816" t="s">
        <v>30</v>
      </c>
      <c r="M816" t="s">
        <v>31</v>
      </c>
      <c r="N816" t="s">
        <v>362</v>
      </c>
      <c r="O816" s="2">
        <v>6</v>
      </c>
      <c r="P816">
        <v>7</v>
      </c>
      <c r="Q816" s="3">
        <v>0.8</v>
      </c>
      <c r="R816" s="2">
        <v>-11.000500000000001</v>
      </c>
      <c r="S816" s="2">
        <v>0.35</v>
      </c>
      <c r="T816" t="s">
        <v>77</v>
      </c>
      <c r="U816">
        <v>2013</v>
      </c>
    </row>
    <row r="817" spans="1:21" x14ac:dyDescent="0.3">
      <c r="A817" t="s">
        <v>3291</v>
      </c>
      <c r="B817" s="1">
        <v>40836</v>
      </c>
      <c r="C817" s="1">
        <v>40843</v>
      </c>
      <c r="D817" t="s">
        <v>22</v>
      </c>
      <c r="E817" t="s">
        <v>1109</v>
      </c>
      <c r="F817" t="s">
        <v>54</v>
      </c>
      <c r="G817" t="s">
        <v>3292</v>
      </c>
      <c r="H817" t="s">
        <v>205</v>
      </c>
      <c r="I817" t="s">
        <v>49</v>
      </c>
      <c r="J817" t="s">
        <v>57</v>
      </c>
      <c r="K817" t="s">
        <v>3293</v>
      </c>
      <c r="L817" t="s">
        <v>30</v>
      </c>
      <c r="M817" t="s">
        <v>31</v>
      </c>
      <c r="N817" t="s">
        <v>3294</v>
      </c>
      <c r="O817" s="2">
        <v>27</v>
      </c>
      <c r="P817">
        <v>1</v>
      </c>
      <c r="Q817" s="3">
        <v>0.1</v>
      </c>
      <c r="R817" s="2">
        <v>2.6880000000000002</v>
      </c>
      <c r="S817" s="2">
        <v>1.17</v>
      </c>
      <c r="T817" t="s">
        <v>33</v>
      </c>
      <c r="U817">
        <v>2011</v>
      </c>
    </row>
    <row r="818" spans="1:21" x14ac:dyDescent="0.3">
      <c r="A818" t="s">
        <v>3295</v>
      </c>
      <c r="B818" s="1">
        <v>41195</v>
      </c>
      <c r="C818" s="1">
        <v>41199</v>
      </c>
      <c r="D818" t="s">
        <v>22</v>
      </c>
      <c r="E818" t="s">
        <v>2355</v>
      </c>
      <c r="F818" t="s">
        <v>54</v>
      </c>
      <c r="G818" t="s">
        <v>3296</v>
      </c>
      <c r="H818" t="s">
        <v>135</v>
      </c>
      <c r="I818" t="s">
        <v>136</v>
      </c>
      <c r="J818" t="s">
        <v>40</v>
      </c>
      <c r="K818" t="s">
        <v>3297</v>
      </c>
      <c r="L818" t="s">
        <v>146</v>
      </c>
      <c r="M818" t="s">
        <v>147</v>
      </c>
      <c r="N818" t="s">
        <v>3298</v>
      </c>
      <c r="O818" s="2">
        <v>84</v>
      </c>
      <c r="P818">
        <v>7</v>
      </c>
      <c r="Q818" s="3">
        <v>0</v>
      </c>
      <c r="R818" s="2">
        <v>23.441600000000001</v>
      </c>
      <c r="S818" s="2">
        <v>4.3099999999999996</v>
      </c>
      <c r="T818" t="s">
        <v>33</v>
      </c>
      <c r="U818">
        <v>2012</v>
      </c>
    </row>
    <row r="819" spans="1:21" x14ac:dyDescent="0.3">
      <c r="A819" t="s">
        <v>3299</v>
      </c>
      <c r="B819" s="1">
        <v>40887</v>
      </c>
      <c r="C819" s="1">
        <v>40891</v>
      </c>
      <c r="D819" t="s">
        <v>22</v>
      </c>
      <c r="E819" t="s">
        <v>173</v>
      </c>
      <c r="F819" t="s">
        <v>24</v>
      </c>
      <c r="G819" t="s">
        <v>3300</v>
      </c>
      <c r="H819" t="s">
        <v>135</v>
      </c>
      <c r="I819" t="s">
        <v>136</v>
      </c>
      <c r="J819" t="s">
        <v>137</v>
      </c>
      <c r="K819" t="s">
        <v>3301</v>
      </c>
      <c r="L819" t="s">
        <v>30</v>
      </c>
      <c r="M819" t="s">
        <v>105</v>
      </c>
      <c r="N819" t="s">
        <v>3302</v>
      </c>
      <c r="O819" s="2">
        <v>26</v>
      </c>
      <c r="P819">
        <v>4</v>
      </c>
      <c r="Q819" s="3">
        <v>0</v>
      </c>
      <c r="R819" s="2">
        <v>12.441599999999999</v>
      </c>
      <c r="S819" s="2">
        <v>1.47</v>
      </c>
      <c r="T819" t="s">
        <v>33</v>
      </c>
      <c r="U819">
        <v>2011</v>
      </c>
    </row>
    <row r="820" spans="1:21" x14ac:dyDescent="0.3">
      <c r="A820" t="s">
        <v>3303</v>
      </c>
      <c r="B820" s="1">
        <v>41576</v>
      </c>
      <c r="C820" s="1">
        <v>41580</v>
      </c>
      <c r="D820" t="s">
        <v>45</v>
      </c>
      <c r="E820" t="s">
        <v>2114</v>
      </c>
      <c r="F820" t="s">
        <v>54</v>
      </c>
      <c r="G820" t="s">
        <v>395</v>
      </c>
      <c r="H820" t="s">
        <v>135</v>
      </c>
      <c r="I820" t="s">
        <v>136</v>
      </c>
      <c r="J820" t="s">
        <v>396</v>
      </c>
      <c r="K820" t="s">
        <v>3304</v>
      </c>
      <c r="L820" t="s">
        <v>30</v>
      </c>
      <c r="M820" t="s">
        <v>90</v>
      </c>
      <c r="N820" t="s">
        <v>3305</v>
      </c>
      <c r="O820" s="2">
        <v>12</v>
      </c>
      <c r="P820">
        <v>3</v>
      </c>
      <c r="Q820" s="3">
        <v>0</v>
      </c>
      <c r="R820" s="2">
        <v>5.2164000000000001</v>
      </c>
      <c r="S820" s="2">
        <v>1.66</v>
      </c>
      <c r="T820" t="s">
        <v>99</v>
      </c>
      <c r="U820">
        <v>2013</v>
      </c>
    </row>
    <row r="821" spans="1:21" x14ac:dyDescent="0.3">
      <c r="A821" t="s">
        <v>3306</v>
      </c>
      <c r="B821" s="1">
        <v>40796</v>
      </c>
      <c r="C821" s="1">
        <v>40799</v>
      </c>
      <c r="D821" t="s">
        <v>84</v>
      </c>
      <c r="E821" t="s">
        <v>1109</v>
      </c>
      <c r="F821" t="s">
        <v>54</v>
      </c>
      <c r="G821" t="s">
        <v>2482</v>
      </c>
      <c r="H821" t="s">
        <v>135</v>
      </c>
      <c r="I821" t="s">
        <v>136</v>
      </c>
      <c r="J821" t="s">
        <v>396</v>
      </c>
      <c r="K821" t="s">
        <v>3307</v>
      </c>
      <c r="L821" t="s">
        <v>59</v>
      </c>
      <c r="M821" t="s">
        <v>60</v>
      </c>
      <c r="N821" t="s">
        <v>3308</v>
      </c>
      <c r="O821" s="2">
        <v>255</v>
      </c>
      <c r="P821">
        <v>5</v>
      </c>
      <c r="Q821" s="3">
        <v>0</v>
      </c>
      <c r="R821" s="2">
        <v>76.47</v>
      </c>
      <c r="S821" s="2">
        <v>39.53</v>
      </c>
      <c r="T821" t="s">
        <v>99</v>
      </c>
      <c r="U821">
        <v>2011</v>
      </c>
    </row>
    <row r="822" spans="1:21" x14ac:dyDescent="0.3">
      <c r="A822" t="s">
        <v>3309</v>
      </c>
      <c r="B822" s="1">
        <v>41496</v>
      </c>
      <c r="C822" s="1">
        <v>41500</v>
      </c>
      <c r="D822" t="s">
        <v>22</v>
      </c>
      <c r="E822" t="s">
        <v>2445</v>
      </c>
      <c r="F822" t="s">
        <v>54</v>
      </c>
      <c r="G822" t="s">
        <v>1504</v>
      </c>
      <c r="H822" t="s">
        <v>48</v>
      </c>
      <c r="I822" t="s">
        <v>49</v>
      </c>
      <c r="J822" t="s">
        <v>40</v>
      </c>
      <c r="K822" t="s">
        <v>3310</v>
      </c>
      <c r="L822" t="s">
        <v>59</v>
      </c>
      <c r="M822" t="s">
        <v>139</v>
      </c>
      <c r="N822" t="s">
        <v>3311</v>
      </c>
      <c r="O822" s="2">
        <v>561</v>
      </c>
      <c r="P822">
        <v>3</v>
      </c>
      <c r="Q822" s="3">
        <v>0.6</v>
      </c>
      <c r="R822" s="2">
        <v>-743.274</v>
      </c>
      <c r="S822" s="2">
        <v>89.55</v>
      </c>
      <c r="T822" t="s">
        <v>99</v>
      </c>
      <c r="U822">
        <v>2013</v>
      </c>
    </row>
    <row r="823" spans="1:21" x14ac:dyDescent="0.3">
      <c r="A823" t="s">
        <v>3312</v>
      </c>
      <c r="B823" s="1">
        <v>41569</v>
      </c>
      <c r="C823" s="1">
        <v>41574</v>
      </c>
      <c r="D823" t="s">
        <v>45</v>
      </c>
      <c r="E823" t="s">
        <v>3313</v>
      </c>
      <c r="F823" t="s">
        <v>36</v>
      </c>
      <c r="G823" t="s">
        <v>3314</v>
      </c>
      <c r="H823" t="s">
        <v>135</v>
      </c>
      <c r="I823" t="s">
        <v>136</v>
      </c>
      <c r="J823" t="s">
        <v>137</v>
      </c>
      <c r="K823" t="s">
        <v>3315</v>
      </c>
      <c r="L823" t="s">
        <v>30</v>
      </c>
      <c r="M823" t="s">
        <v>90</v>
      </c>
      <c r="N823" t="s">
        <v>3316</v>
      </c>
      <c r="O823" s="2">
        <v>113</v>
      </c>
      <c r="P823">
        <v>3</v>
      </c>
      <c r="Q823" s="3">
        <v>0</v>
      </c>
      <c r="R823" s="2">
        <v>29.437200000000001</v>
      </c>
      <c r="S823" s="2">
        <v>13.66</v>
      </c>
      <c r="T823" t="s">
        <v>33</v>
      </c>
      <c r="U823">
        <v>2013</v>
      </c>
    </row>
    <row r="824" spans="1:21" x14ac:dyDescent="0.3">
      <c r="A824" t="s">
        <v>3317</v>
      </c>
      <c r="B824" s="1">
        <v>40842</v>
      </c>
      <c r="C824" s="1">
        <v>40846</v>
      </c>
      <c r="D824" t="s">
        <v>22</v>
      </c>
      <c r="E824" t="s">
        <v>631</v>
      </c>
      <c r="F824" t="s">
        <v>54</v>
      </c>
      <c r="G824" t="s">
        <v>3318</v>
      </c>
      <c r="H824" t="s">
        <v>435</v>
      </c>
      <c r="I824" t="s">
        <v>117</v>
      </c>
      <c r="J824" t="s">
        <v>117</v>
      </c>
      <c r="K824" t="s">
        <v>3319</v>
      </c>
      <c r="L824" t="s">
        <v>59</v>
      </c>
      <c r="M824" t="s">
        <v>60</v>
      </c>
      <c r="N824" t="s">
        <v>3320</v>
      </c>
      <c r="O824" s="2">
        <v>302</v>
      </c>
      <c r="P824">
        <v>6</v>
      </c>
      <c r="Q824" s="3">
        <v>0</v>
      </c>
      <c r="R824" s="2">
        <v>75.239999999999995</v>
      </c>
      <c r="S824" s="2">
        <v>17.63</v>
      </c>
      <c r="T824" t="s">
        <v>33</v>
      </c>
      <c r="U824">
        <v>2011</v>
      </c>
    </row>
    <row r="825" spans="1:21" x14ac:dyDescent="0.3">
      <c r="A825" t="s">
        <v>3321</v>
      </c>
      <c r="B825" s="1">
        <v>40918</v>
      </c>
      <c r="C825" s="1">
        <v>40919</v>
      </c>
      <c r="D825" t="s">
        <v>84</v>
      </c>
      <c r="E825" t="s">
        <v>3322</v>
      </c>
      <c r="F825" t="s">
        <v>54</v>
      </c>
      <c r="G825" t="s">
        <v>2470</v>
      </c>
      <c r="H825" t="s">
        <v>2471</v>
      </c>
      <c r="I825" t="s">
        <v>49</v>
      </c>
      <c r="J825" t="s">
        <v>129</v>
      </c>
      <c r="K825" t="s">
        <v>1354</v>
      </c>
      <c r="L825" t="s">
        <v>30</v>
      </c>
      <c r="M825" t="s">
        <v>42</v>
      </c>
      <c r="N825" t="s">
        <v>1355</v>
      </c>
      <c r="O825" s="2">
        <v>1294</v>
      </c>
      <c r="P825">
        <v>5</v>
      </c>
      <c r="Q825" s="3">
        <v>0.5</v>
      </c>
      <c r="R825" s="2">
        <v>-776.32500000000005</v>
      </c>
      <c r="S825" s="2">
        <v>274.58</v>
      </c>
      <c r="T825" t="s">
        <v>68</v>
      </c>
      <c r="U825">
        <v>2012</v>
      </c>
    </row>
    <row r="826" spans="1:21" x14ac:dyDescent="0.3">
      <c r="A826" t="s">
        <v>3323</v>
      </c>
      <c r="B826" s="1">
        <v>41578</v>
      </c>
      <c r="C826" s="1">
        <v>41583</v>
      </c>
      <c r="D826" t="s">
        <v>22</v>
      </c>
      <c r="E826" t="s">
        <v>3324</v>
      </c>
      <c r="F826" t="s">
        <v>54</v>
      </c>
      <c r="G826" t="s">
        <v>3325</v>
      </c>
      <c r="H826" t="s">
        <v>38</v>
      </c>
      <c r="I826" t="s">
        <v>39</v>
      </c>
      <c r="J826" t="s">
        <v>40</v>
      </c>
      <c r="K826" t="s">
        <v>3326</v>
      </c>
      <c r="L826" t="s">
        <v>30</v>
      </c>
      <c r="M826" t="s">
        <v>105</v>
      </c>
      <c r="N826" t="s">
        <v>3327</v>
      </c>
      <c r="O826" s="2">
        <v>35</v>
      </c>
      <c r="P826">
        <v>4</v>
      </c>
      <c r="Q826" s="3">
        <v>0</v>
      </c>
      <c r="R826" s="2">
        <v>2.08</v>
      </c>
      <c r="S826" s="2">
        <v>4.5599999999999996</v>
      </c>
      <c r="T826" t="s">
        <v>99</v>
      </c>
      <c r="U826">
        <v>2013</v>
      </c>
    </row>
    <row r="827" spans="1:21" x14ac:dyDescent="0.3">
      <c r="A827" t="s">
        <v>3328</v>
      </c>
      <c r="B827" s="1">
        <v>41935</v>
      </c>
      <c r="C827" s="1">
        <v>41935</v>
      </c>
      <c r="D827" t="s">
        <v>232</v>
      </c>
      <c r="E827" t="s">
        <v>3329</v>
      </c>
      <c r="F827" t="s">
        <v>54</v>
      </c>
      <c r="G827" t="s">
        <v>2072</v>
      </c>
      <c r="H827" t="s">
        <v>135</v>
      </c>
      <c r="I827" t="s">
        <v>136</v>
      </c>
      <c r="J827" t="s">
        <v>57</v>
      </c>
      <c r="K827" t="s">
        <v>3330</v>
      </c>
      <c r="L827" t="s">
        <v>30</v>
      </c>
      <c r="M827" t="s">
        <v>66</v>
      </c>
      <c r="N827" t="s">
        <v>3331</v>
      </c>
      <c r="O827" s="2">
        <v>333</v>
      </c>
      <c r="P827">
        <v>3</v>
      </c>
      <c r="Q827" s="3">
        <v>0</v>
      </c>
      <c r="R827" s="2">
        <v>23.316299999999998</v>
      </c>
      <c r="S827" s="2">
        <v>58.9</v>
      </c>
      <c r="T827" t="s">
        <v>99</v>
      </c>
      <c r="U827">
        <v>2014</v>
      </c>
    </row>
    <row r="828" spans="1:21" x14ac:dyDescent="0.3">
      <c r="A828" t="s">
        <v>3332</v>
      </c>
      <c r="B828" s="1">
        <v>41577</v>
      </c>
      <c r="C828" s="1">
        <v>41582</v>
      </c>
      <c r="D828" t="s">
        <v>22</v>
      </c>
      <c r="E828" t="s">
        <v>2511</v>
      </c>
      <c r="F828" t="s">
        <v>54</v>
      </c>
      <c r="G828" t="s">
        <v>708</v>
      </c>
      <c r="H828" t="s">
        <v>103</v>
      </c>
      <c r="I828" t="s">
        <v>39</v>
      </c>
      <c r="J828" t="s">
        <v>57</v>
      </c>
      <c r="K828" t="s">
        <v>3333</v>
      </c>
      <c r="L828" t="s">
        <v>30</v>
      </c>
      <c r="M828" t="s">
        <v>105</v>
      </c>
      <c r="N828" t="s">
        <v>3334</v>
      </c>
      <c r="O828" s="2">
        <v>20</v>
      </c>
      <c r="P828">
        <v>3</v>
      </c>
      <c r="Q828" s="3">
        <v>0.4</v>
      </c>
      <c r="R828" s="2">
        <v>-0.69599999999999995</v>
      </c>
      <c r="S828" s="2">
        <v>1.55</v>
      </c>
      <c r="T828" t="s">
        <v>99</v>
      </c>
      <c r="U828">
        <v>2013</v>
      </c>
    </row>
    <row r="829" spans="1:21" x14ac:dyDescent="0.3">
      <c r="A829" t="s">
        <v>3335</v>
      </c>
      <c r="B829" s="1">
        <v>41253</v>
      </c>
      <c r="C829" s="1">
        <v>41259</v>
      </c>
      <c r="D829" t="s">
        <v>22</v>
      </c>
      <c r="E829" t="s">
        <v>2720</v>
      </c>
      <c r="F829" t="s">
        <v>54</v>
      </c>
      <c r="G829" t="s">
        <v>1804</v>
      </c>
      <c r="H829" t="s">
        <v>135</v>
      </c>
      <c r="I829" t="s">
        <v>136</v>
      </c>
      <c r="J829" t="s">
        <v>40</v>
      </c>
      <c r="K829" t="s">
        <v>570</v>
      </c>
      <c r="L829" t="s">
        <v>30</v>
      </c>
      <c r="M829" t="s">
        <v>105</v>
      </c>
      <c r="N829" t="s">
        <v>571</v>
      </c>
      <c r="O829" s="2">
        <v>26</v>
      </c>
      <c r="P829">
        <v>4</v>
      </c>
      <c r="Q829" s="3">
        <v>0</v>
      </c>
      <c r="R829" s="2">
        <v>12.441599999999999</v>
      </c>
      <c r="S829" s="2">
        <v>2.04</v>
      </c>
      <c r="T829" t="s">
        <v>33</v>
      </c>
      <c r="U829">
        <v>2012</v>
      </c>
    </row>
    <row r="830" spans="1:21" x14ac:dyDescent="0.3">
      <c r="A830" t="s">
        <v>3336</v>
      </c>
      <c r="B830" s="1">
        <v>41769</v>
      </c>
      <c r="C830" s="1">
        <v>41772</v>
      </c>
      <c r="D830" t="s">
        <v>45</v>
      </c>
      <c r="E830" t="s">
        <v>1646</v>
      </c>
      <c r="F830" t="s">
        <v>54</v>
      </c>
      <c r="G830" t="s">
        <v>2370</v>
      </c>
      <c r="H830" t="s">
        <v>2371</v>
      </c>
      <c r="I830" t="s">
        <v>117</v>
      </c>
      <c r="J830" t="s">
        <v>117</v>
      </c>
      <c r="K830" t="s">
        <v>3337</v>
      </c>
      <c r="L830" t="s">
        <v>146</v>
      </c>
      <c r="M830" t="s">
        <v>271</v>
      </c>
      <c r="N830" t="s">
        <v>481</v>
      </c>
      <c r="O830" s="2">
        <v>495</v>
      </c>
      <c r="P830">
        <v>2</v>
      </c>
      <c r="Q830" s="3">
        <v>0</v>
      </c>
      <c r="R830" s="2">
        <v>59.4</v>
      </c>
      <c r="S830" s="2">
        <v>27.28</v>
      </c>
      <c r="T830" t="s">
        <v>33</v>
      </c>
      <c r="U830">
        <v>2014</v>
      </c>
    </row>
    <row r="831" spans="1:21" x14ac:dyDescent="0.3">
      <c r="A831" t="s">
        <v>3338</v>
      </c>
      <c r="B831" s="1">
        <v>41575</v>
      </c>
      <c r="C831" s="1">
        <v>41580</v>
      </c>
      <c r="D831" t="s">
        <v>22</v>
      </c>
      <c r="E831" t="s">
        <v>2953</v>
      </c>
      <c r="F831" t="s">
        <v>54</v>
      </c>
      <c r="G831" t="s">
        <v>512</v>
      </c>
      <c r="H831" t="s">
        <v>152</v>
      </c>
      <c r="I831" t="s">
        <v>27</v>
      </c>
      <c r="J831" t="s">
        <v>153</v>
      </c>
      <c r="K831" t="s">
        <v>3339</v>
      </c>
      <c r="L831" t="s">
        <v>30</v>
      </c>
      <c r="M831" t="s">
        <v>75</v>
      </c>
      <c r="N831" t="s">
        <v>3340</v>
      </c>
      <c r="O831" s="2">
        <v>29</v>
      </c>
      <c r="P831">
        <v>3</v>
      </c>
      <c r="Q831" s="3">
        <v>0</v>
      </c>
      <c r="R831" s="2">
        <v>14.49</v>
      </c>
      <c r="S831" s="2">
        <v>2.29</v>
      </c>
      <c r="T831" t="s">
        <v>33</v>
      </c>
      <c r="U831">
        <v>2013</v>
      </c>
    </row>
    <row r="832" spans="1:21" x14ac:dyDescent="0.3">
      <c r="A832" t="s">
        <v>3341</v>
      </c>
      <c r="B832" s="1">
        <v>40887</v>
      </c>
      <c r="C832" s="1">
        <v>40893</v>
      </c>
      <c r="D832" t="s">
        <v>22</v>
      </c>
      <c r="E832" t="s">
        <v>631</v>
      </c>
      <c r="F832" t="s">
        <v>54</v>
      </c>
      <c r="G832" t="s">
        <v>1768</v>
      </c>
      <c r="H832" t="s">
        <v>649</v>
      </c>
      <c r="I832" t="s">
        <v>27</v>
      </c>
      <c r="J832" t="s">
        <v>73</v>
      </c>
      <c r="K832" t="s">
        <v>3342</v>
      </c>
      <c r="L832" t="s">
        <v>30</v>
      </c>
      <c r="M832" t="s">
        <v>90</v>
      </c>
      <c r="N832" t="s">
        <v>2069</v>
      </c>
      <c r="O832" s="2">
        <v>133</v>
      </c>
      <c r="P832">
        <v>7</v>
      </c>
      <c r="Q832" s="3">
        <v>0</v>
      </c>
      <c r="R832" s="2">
        <v>66.150000000000006</v>
      </c>
      <c r="S832" s="2">
        <v>11.54</v>
      </c>
      <c r="T832" t="s">
        <v>33</v>
      </c>
      <c r="U832">
        <v>2011</v>
      </c>
    </row>
    <row r="833" spans="1:21" x14ac:dyDescent="0.3">
      <c r="A833" t="s">
        <v>3343</v>
      </c>
      <c r="B833" s="1">
        <v>40847</v>
      </c>
      <c r="C833" s="1">
        <v>40849</v>
      </c>
      <c r="D833" t="s">
        <v>45</v>
      </c>
      <c r="E833" t="s">
        <v>2423</v>
      </c>
      <c r="F833" t="s">
        <v>54</v>
      </c>
      <c r="G833" t="s">
        <v>3344</v>
      </c>
      <c r="H833" t="s">
        <v>135</v>
      </c>
      <c r="I833" t="s">
        <v>136</v>
      </c>
      <c r="J833" t="s">
        <v>396</v>
      </c>
      <c r="K833" t="s">
        <v>3345</v>
      </c>
      <c r="L833" t="s">
        <v>59</v>
      </c>
      <c r="M833" t="s">
        <v>139</v>
      </c>
      <c r="N833" t="s">
        <v>3346</v>
      </c>
      <c r="O833" s="2">
        <v>1605</v>
      </c>
      <c r="P833">
        <v>5</v>
      </c>
      <c r="Q833" s="3">
        <v>0</v>
      </c>
      <c r="R833" s="2">
        <v>481.47</v>
      </c>
      <c r="S833" s="2">
        <v>289.82</v>
      </c>
      <c r="T833" t="s">
        <v>33</v>
      </c>
      <c r="U833">
        <v>2011</v>
      </c>
    </row>
    <row r="834" spans="1:21" x14ac:dyDescent="0.3">
      <c r="A834" t="s">
        <v>3347</v>
      </c>
      <c r="B834" s="1">
        <v>41943</v>
      </c>
      <c r="C834" s="1">
        <v>41945</v>
      </c>
      <c r="D834" t="s">
        <v>84</v>
      </c>
      <c r="E834" t="s">
        <v>826</v>
      </c>
      <c r="F834" t="s">
        <v>24</v>
      </c>
      <c r="G834" t="s">
        <v>936</v>
      </c>
      <c r="H834" t="s">
        <v>72</v>
      </c>
      <c r="I834" t="s">
        <v>27</v>
      </c>
      <c r="J834" t="s">
        <v>73</v>
      </c>
      <c r="K834" t="s">
        <v>3348</v>
      </c>
      <c r="L834" t="s">
        <v>59</v>
      </c>
      <c r="M834" t="s">
        <v>139</v>
      </c>
      <c r="N834" t="s">
        <v>3349</v>
      </c>
      <c r="O834" s="2">
        <v>106</v>
      </c>
      <c r="P834">
        <v>2</v>
      </c>
      <c r="Q834" s="3">
        <v>0</v>
      </c>
      <c r="R834" s="2">
        <v>9.5399999999999991</v>
      </c>
      <c r="S834" s="2">
        <v>5.0199999999999996</v>
      </c>
      <c r="T834" t="s">
        <v>33</v>
      </c>
      <c r="U834">
        <v>2014</v>
      </c>
    </row>
    <row r="835" spans="1:21" x14ac:dyDescent="0.3">
      <c r="A835" t="s">
        <v>3350</v>
      </c>
      <c r="B835" s="1">
        <v>41565</v>
      </c>
      <c r="C835" s="1">
        <v>41568</v>
      </c>
      <c r="D835" t="s">
        <v>45</v>
      </c>
      <c r="E835" t="s">
        <v>1255</v>
      </c>
      <c r="F835" t="s">
        <v>54</v>
      </c>
      <c r="G835" t="s">
        <v>3351</v>
      </c>
      <c r="H835" t="s">
        <v>56</v>
      </c>
      <c r="I835" t="s">
        <v>49</v>
      </c>
      <c r="J835" t="s">
        <v>57</v>
      </c>
      <c r="K835" t="s">
        <v>3352</v>
      </c>
      <c r="L835" t="s">
        <v>30</v>
      </c>
      <c r="M835" t="s">
        <v>90</v>
      </c>
      <c r="N835" t="s">
        <v>3353</v>
      </c>
      <c r="O835" s="2">
        <v>49</v>
      </c>
      <c r="P835">
        <v>1</v>
      </c>
      <c r="Q835" s="3">
        <v>0</v>
      </c>
      <c r="R835" s="2">
        <v>7.89</v>
      </c>
      <c r="S835" s="2">
        <v>5.96</v>
      </c>
      <c r="T835" t="s">
        <v>99</v>
      </c>
      <c r="U835">
        <v>2013</v>
      </c>
    </row>
    <row r="836" spans="1:21" x14ac:dyDescent="0.3">
      <c r="A836" t="s">
        <v>3354</v>
      </c>
      <c r="B836" s="1">
        <v>41893</v>
      </c>
      <c r="C836" s="1">
        <v>41898</v>
      </c>
      <c r="D836" t="s">
        <v>22</v>
      </c>
      <c r="E836" t="s">
        <v>584</v>
      </c>
      <c r="F836" t="s">
        <v>24</v>
      </c>
      <c r="G836" t="s">
        <v>122</v>
      </c>
      <c r="H836" t="s">
        <v>72</v>
      </c>
      <c r="I836" t="s">
        <v>27</v>
      </c>
      <c r="J836" t="s">
        <v>73</v>
      </c>
      <c r="K836" t="s">
        <v>3355</v>
      </c>
      <c r="L836" t="s">
        <v>146</v>
      </c>
      <c r="M836" t="s">
        <v>271</v>
      </c>
      <c r="N836" t="s">
        <v>2663</v>
      </c>
      <c r="O836" s="2">
        <v>172</v>
      </c>
      <c r="P836">
        <v>4</v>
      </c>
      <c r="Q836" s="3">
        <v>0</v>
      </c>
      <c r="R836" s="2">
        <v>27.48</v>
      </c>
      <c r="S836" s="2">
        <v>18.420000000000002</v>
      </c>
      <c r="T836" t="s">
        <v>33</v>
      </c>
      <c r="U836">
        <v>2014</v>
      </c>
    </row>
    <row r="837" spans="1:21" x14ac:dyDescent="0.3">
      <c r="A837" t="s">
        <v>3356</v>
      </c>
      <c r="B837" s="1">
        <v>41967</v>
      </c>
      <c r="C837" s="1">
        <v>41972</v>
      </c>
      <c r="D837" t="s">
        <v>22</v>
      </c>
      <c r="E837" t="s">
        <v>2818</v>
      </c>
      <c r="F837" t="s">
        <v>54</v>
      </c>
      <c r="G837" t="s">
        <v>3357</v>
      </c>
      <c r="H837" t="s">
        <v>224</v>
      </c>
      <c r="I837" t="s">
        <v>49</v>
      </c>
      <c r="J837" t="s">
        <v>40</v>
      </c>
      <c r="K837" t="s">
        <v>3358</v>
      </c>
      <c r="L837" t="s">
        <v>30</v>
      </c>
      <c r="M837" t="s">
        <v>31</v>
      </c>
      <c r="N837" t="s">
        <v>3359</v>
      </c>
      <c r="O837" s="2">
        <v>18</v>
      </c>
      <c r="P837">
        <v>3</v>
      </c>
      <c r="Q837" s="3">
        <v>0</v>
      </c>
      <c r="R837" s="2">
        <v>0.72</v>
      </c>
      <c r="S837" s="2">
        <v>1.36</v>
      </c>
      <c r="T837" t="s">
        <v>33</v>
      </c>
      <c r="U837">
        <v>2014</v>
      </c>
    </row>
    <row r="838" spans="1:21" x14ac:dyDescent="0.3">
      <c r="A838" t="s">
        <v>3360</v>
      </c>
      <c r="B838" s="1">
        <v>41681</v>
      </c>
      <c r="C838" s="1">
        <v>41683</v>
      </c>
      <c r="D838" t="s">
        <v>84</v>
      </c>
      <c r="E838" t="s">
        <v>1662</v>
      </c>
      <c r="F838" t="s">
        <v>24</v>
      </c>
      <c r="G838" t="s">
        <v>2507</v>
      </c>
      <c r="H838" t="s">
        <v>2508</v>
      </c>
      <c r="I838" t="s">
        <v>49</v>
      </c>
      <c r="J838" t="s">
        <v>57</v>
      </c>
      <c r="K838" t="s">
        <v>3361</v>
      </c>
      <c r="L838" t="s">
        <v>146</v>
      </c>
      <c r="M838" t="s">
        <v>195</v>
      </c>
      <c r="N838" t="s">
        <v>3362</v>
      </c>
      <c r="O838" s="2">
        <v>174</v>
      </c>
      <c r="P838">
        <v>1</v>
      </c>
      <c r="Q838" s="3">
        <v>0</v>
      </c>
      <c r="R838" s="2">
        <v>24.33</v>
      </c>
      <c r="S838" s="2">
        <v>25.43</v>
      </c>
      <c r="T838" t="s">
        <v>33</v>
      </c>
      <c r="U838">
        <v>2014</v>
      </c>
    </row>
    <row r="839" spans="1:21" x14ac:dyDescent="0.3">
      <c r="A839" t="s">
        <v>3363</v>
      </c>
      <c r="B839" s="1">
        <v>41229</v>
      </c>
      <c r="C839" s="1">
        <v>41235</v>
      </c>
      <c r="D839" t="s">
        <v>22</v>
      </c>
      <c r="E839" t="s">
        <v>3364</v>
      </c>
      <c r="F839" t="s">
        <v>36</v>
      </c>
      <c r="G839" t="s">
        <v>3365</v>
      </c>
      <c r="H839" t="s">
        <v>801</v>
      </c>
      <c r="I839" t="s">
        <v>117</v>
      </c>
      <c r="J839" t="s">
        <v>117</v>
      </c>
      <c r="K839" t="s">
        <v>3366</v>
      </c>
      <c r="L839" t="s">
        <v>30</v>
      </c>
      <c r="M839" t="s">
        <v>66</v>
      </c>
      <c r="N839" t="s">
        <v>1347</v>
      </c>
      <c r="O839" s="2">
        <v>47</v>
      </c>
      <c r="P839">
        <v>2</v>
      </c>
      <c r="Q839" s="3">
        <v>0</v>
      </c>
      <c r="R839" s="2">
        <v>9.7200000000000006</v>
      </c>
      <c r="S839" s="2">
        <v>2.4700000000000002</v>
      </c>
      <c r="T839" t="s">
        <v>33</v>
      </c>
      <c r="U839">
        <v>2012</v>
      </c>
    </row>
    <row r="840" spans="1:21" x14ac:dyDescent="0.3">
      <c r="A840" t="s">
        <v>3367</v>
      </c>
      <c r="B840" s="1">
        <v>41603</v>
      </c>
      <c r="C840" s="1">
        <v>41605</v>
      </c>
      <c r="D840" t="s">
        <v>45</v>
      </c>
      <c r="E840" t="s">
        <v>427</v>
      </c>
      <c r="F840" t="s">
        <v>36</v>
      </c>
      <c r="G840" t="s">
        <v>3368</v>
      </c>
      <c r="H840" t="s">
        <v>224</v>
      </c>
      <c r="I840" t="s">
        <v>49</v>
      </c>
      <c r="J840" t="s">
        <v>40</v>
      </c>
      <c r="K840" t="s">
        <v>1564</v>
      </c>
      <c r="L840" t="s">
        <v>30</v>
      </c>
      <c r="M840" t="s">
        <v>90</v>
      </c>
      <c r="N840" t="s">
        <v>943</v>
      </c>
      <c r="O840" s="2">
        <v>76</v>
      </c>
      <c r="P840">
        <v>3</v>
      </c>
      <c r="Q840" s="3">
        <v>0</v>
      </c>
      <c r="R840" s="2">
        <v>25.11</v>
      </c>
      <c r="S840" s="2">
        <v>4.4800000000000004</v>
      </c>
      <c r="T840" t="s">
        <v>33</v>
      </c>
      <c r="U840">
        <v>2013</v>
      </c>
    </row>
    <row r="841" spans="1:21" x14ac:dyDescent="0.3">
      <c r="A841" t="s">
        <v>3369</v>
      </c>
      <c r="B841" s="1">
        <v>41239</v>
      </c>
      <c r="C841" s="1">
        <v>41243</v>
      </c>
      <c r="D841" t="s">
        <v>22</v>
      </c>
      <c r="E841" t="s">
        <v>922</v>
      </c>
      <c r="F841" t="s">
        <v>54</v>
      </c>
      <c r="G841" t="s">
        <v>217</v>
      </c>
      <c r="H841" t="s">
        <v>218</v>
      </c>
      <c r="I841" t="s">
        <v>218</v>
      </c>
      <c r="J841" t="s">
        <v>218</v>
      </c>
      <c r="K841" t="s">
        <v>3370</v>
      </c>
      <c r="L841" t="s">
        <v>30</v>
      </c>
      <c r="M841" t="s">
        <v>90</v>
      </c>
      <c r="N841" t="s">
        <v>3371</v>
      </c>
      <c r="O841" s="2">
        <v>17</v>
      </c>
      <c r="P841">
        <v>1</v>
      </c>
      <c r="Q841" s="3">
        <v>0</v>
      </c>
      <c r="R841" s="2">
        <v>7.14</v>
      </c>
      <c r="S841" s="2">
        <v>3.5</v>
      </c>
      <c r="T841" t="s">
        <v>99</v>
      </c>
      <c r="U841">
        <v>2012</v>
      </c>
    </row>
    <row r="842" spans="1:21" x14ac:dyDescent="0.3">
      <c r="A842" t="s">
        <v>3372</v>
      </c>
      <c r="B842" s="1">
        <v>41071</v>
      </c>
      <c r="C842" s="1">
        <v>41073</v>
      </c>
      <c r="D842" t="s">
        <v>45</v>
      </c>
      <c r="E842" t="s">
        <v>1603</v>
      </c>
      <c r="F842" t="s">
        <v>54</v>
      </c>
      <c r="G842" t="s">
        <v>1956</v>
      </c>
      <c r="H842" t="s">
        <v>1147</v>
      </c>
      <c r="I842" t="s">
        <v>39</v>
      </c>
      <c r="J842" t="s">
        <v>129</v>
      </c>
      <c r="K842" t="s">
        <v>3373</v>
      </c>
      <c r="L842" t="s">
        <v>30</v>
      </c>
      <c r="M842" t="s">
        <v>66</v>
      </c>
      <c r="N842" t="s">
        <v>3374</v>
      </c>
      <c r="O842" s="2">
        <v>33</v>
      </c>
      <c r="P842">
        <v>3</v>
      </c>
      <c r="Q842" s="3">
        <v>0</v>
      </c>
      <c r="R842" s="2">
        <v>3.6</v>
      </c>
      <c r="S842" s="2">
        <v>2.57</v>
      </c>
      <c r="T842" t="s">
        <v>99</v>
      </c>
      <c r="U842">
        <v>2012</v>
      </c>
    </row>
    <row r="843" spans="1:21" x14ac:dyDescent="0.3">
      <c r="A843" t="s">
        <v>3375</v>
      </c>
      <c r="B843" s="1">
        <v>41957</v>
      </c>
      <c r="C843" s="1">
        <v>41959</v>
      </c>
      <c r="D843" t="s">
        <v>84</v>
      </c>
      <c r="E843" t="s">
        <v>679</v>
      </c>
      <c r="F843" t="s">
        <v>54</v>
      </c>
      <c r="G843" t="s">
        <v>315</v>
      </c>
      <c r="H843" t="s">
        <v>316</v>
      </c>
      <c r="I843" t="s">
        <v>27</v>
      </c>
      <c r="J843" t="s">
        <v>212</v>
      </c>
      <c r="K843" t="s">
        <v>3376</v>
      </c>
      <c r="L843" t="s">
        <v>146</v>
      </c>
      <c r="M843" t="s">
        <v>271</v>
      </c>
      <c r="N843" t="s">
        <v>3377</v>
      </c>
      <c r="O843" s="2">
        <v>207</v>
      </c>
      <c r="P843">
        <v>2</v>
      </c>
      <c r="Q843" s="3">
        <v>0.1</v>
      </c>
      <c r="R843" s="2">
        <v>-16.103999999999999</v>
      </c>
      <c r="S843" s="2">
        <v>49.1</v>
      </c>
      <c r="T843" t="s">
        <v>99</v>
      </c>
      <c r="U843">
        <v>2014</v>
      </c>
    </row>
    <row r="844" spans="1:21" x14ac:dyDescent="0.3">
      <c r="A844" t="s">
        <v>3378</v>
      </c>
      <c r="B844" s="1">
        <v>41893</v>
      </c>
      <c r="C844" s="1">
        <v>41899</v>
      </c>
      <c r="D844" t="s">
        <v>22</v>
      </c>
      <c r="E844" t="s">
        <v>121</v>
      </c>
      <c r="F844" t="s">
        <v>36</v>
      </c>
      <c r="G844" t="s">
        <v>3379</v>
      </c>
      <c r="H844" t="s">
        <v>1111</v>
      </c>
      <c r="I844" t="s">
        <v>88</v>
      </c>
      <c r="J844" t="s">
        <v>88</v>
      </c>
      <c r="K844" t="s">
        <v>430</v>
      </c>
      <c r="L844" t="s">
        <v>30</v>
      </c>
      <c r="M844" t="s">
        <v>66</v>
      </c>
      <c r="N844" t="s">
        <v>431</v>
      </c>
      <c r="O844" s="2">
        <v>829</v>
      </c>
      <c r="P844">
        <v>4</v>
      </c>
      <c r="Q844" s="3">
        <v>0</v>
      </c>
      <c r="R844" s="2">
        <v>215.52</v>
      </c>
      <c r="S844" s="2">
        <v>83.89</v>
      </c>
      <c r="T844" t="s">
        <v>33</v>
      </c>
      <c r="U844">
        <v>2014</v>
      </c>
    </row>
    <row r="845" spans="1:21" x14ac:dyDescent="0.3">
      <c r="A845" t="s">
        <v>3380</v>
      </c>
      <c r="B845" s="1">
        <v>41233</v>
      </c>
      <c r="C845" s="1">
        <v>41239</v>
      </c>
      <c r="D845" t="s">
        <v>22</v>
      </c>
      <c r="E845" t="s">
        <v>3381</v>
      </c>
      <c r="F845" t="s">
        <v>54</v>
      </c>
      <c r="G845" t="s">
        <v>1058</v>
      </c>
      <c r="H845" t="s">
        <v>218</v>
      </c>
      <c r="I845" t="s">
        <v>218</v>
      </c>
      <c r="J845" t="s">
        <v>218</v>
      </c>
      <c r="K845" t="s">
        <v>3382</v>
      </c>
      <c r="L845" t="s">
        <v>30</v>
      </c>
      <c r="M845" t="s">
        <v>97</v>
      </c>
      <c r="N845" t="s">
        <v>3383</v>
      </c>
      <c r="O845" s="2">
        <v>13</v>
      </c>
      <c r="P845">
        <v>1</v>
      </c>
      <c r="Q845" s="3">
        <v>0</v>
      </c>
      <c r="R845" s="2">
        <v>0.36</v>
      </c>
      <c r="S845" s="2">
        <v>0.15</v>
      </c>
      <c r="T845" t="s">
        <v>33</v>
      </c>
      <c r="U845">
        <v>2012</v>
      </c>
    </row>
    <row r="846" spans="1:21" x14ac:dyDescent="0.3">
      <c r="A846" t="s">
        <v>3384</v>
      </c>
      <c r="B846" s="1">
        <v>41958</v>
      </c>
      <c r="C846" s="1">
        <v>41962</v>
      </c>
      <c r="D846" t="s">
        <v>22</v>
      </c>
      <c r="E846" t="s">
        <v>183</v>
      </c>
      <c r="F846" t="s">
        <v>54</v>
      </c>
      <c r="G846" t="s">
        <v>569</v>
      </c>
      <c r="H846" t="s">
        <v>135</v>
      </c>
      <c r="I846" t="s">
        <v>136</v>
      </c>
      <c r="J846" t="s">
        <v>57</v>
      </c>
      <c r="K846" t="s">
        <v>3385</v>
      </c>
      <c r="L846" t="s">
        <v>146</v>
      </c>
      <c r="M846" t="s">
        <v>271</v>
      </c>
      <c r="N846" t="s">
        <v>3386</v>
      </c>
      <c r="O846" s="2">
        <v>168</v>
      </c>
      <c r="P846">
        <v>6</v>
      </c>
      <c r="Q846" s="3">
        <v>0.2</v>
      </c>
      <c r="R846" s="2">
        <v>-27.292200000000001</v>
      </c>
      <c r="S846" s="2">
        <v>8.83</v>
      </c>
      <c r="T846" t="s">
        <v>33</v>
      </c>
      <c r="U846">
        <v>2014</v>
      </c>
    </row>
    <row r="847" spans="1:21" x14ac:dyDescent="0.3">
      <c r="A847" t="s">
        <v>3387</v>
      </c>
      <c r="B847" s="1">
        <v>40872</v>
      </c>
      <c r="C847" s="1">
        <v>40876</v>
      </c>
      <c r="D847" t="s">
        <v>45</v>
      </c>
      <c r="E847" t="s">
        <v>2786</v>
      </c>
      <c r="F847" t="s">
        <v>36</v>
      </c>
      <c r="G847" t="s">
        <v>395</v>
      </c>
      <c r="H847" t="s">
        <v>135</v>
      </c>
      <c r="I847" t="s">
        <v>136</v>
      </c>
      <c r="J847" t="s">
        <v>396</v>
      </c>
      <c r="K847" t="s">
        <v>3388</v>
      </c>
      <c r="L847" t="s">
        <v>30</v>
      </c>
      <c r="M847" t="s">
        <v>66</v>
      </c>
      <c r="N847" t="s">
        <v>3389</v>
      </c>
      <c r="O847" s="2">
        <v>1118</v>
      </c>
      <c r="P847">
        <v>4</v>
      </c>
      <c r="Q847" s="3">
        <v>0</v>
      </c>
      <c r="R847" s="2">
        <v>55.896000000000001</v>
      </c>
      <c r="S847" s="2">
        <v>105.31</v>
      </c>
      <c r="T847" t="s">
        <v>99</v>
      </c>
      <c r="U847">
        <v>2011</v>
      </c>
    </row>
    <row r="848" spans="1:21" x14ac:dyDescent="0.3">
      <c r="A848" t="s">
        <v>3390</v>
      </c>
      <c r="B848" s="1">
        <v>41963</v>
      </c>
      <c r="C848" s="1">
        <v>41968</v>
      </c>
      <c r="D848" t="s">
        <v>22</v>
      </c>
      <c r="E848" t="s">
        <v>2067</v>
      </c>
      <c r="F848" t="s">
        <v>36</v>
      </c>
      <c r="G848" t="s">
        <v>3391</v>
      </c>
      <c r="H848" t="s">
        <v>38</v>
      </c>
      <c r="I848" t="s">
        <v>39</v>
      </c>
      <c r="J848" t="s">
        <v>40</v>
      </c>
      <c r="K848" t="s">
        <v>3392</v>
      </c>
      <c r="L848" t="s">
        <v>59</v>
      </c>
      <c r="M848" t="s">
        <v>60</v>
      </c>
      <c r="N848" t="s">
        <v>3393</v>
      </c>
      <c r="O848" s="2">
        <v>15</v>
      </c>
      <c r="P848">
        <v>3</v>
      </c>
      <c r="Q848" s="3">
        <v>0.6</v>
      </c>
      <c r="R848" s="2">
        <v>-22.428000000000001</v>
      </c>
      <c r="S848" s="2">
        <v>1.25</v>
      </c>
      <c r="T848" t="s">
        <v>33</v>
      </c>
      <c r="U848">
        <v>2014</v>
      </c>
    </row>
    <row r="849" spans="1:21" x14ac:dyDescent="0.3">
      <c r="A849" t="s">
        <v>3394</v>
      </c>
      <c r="B849" s="1">
        <v>41962</v>
      </c>
      <c r="C849" s="1">
        <v>41968</v>
      </c>
      <c r="D849" t="s">
        <v>22</v>
      </c>
      <c r="E849" t="s">
        <v>3395</v>
      </c>
      <c r="F849" t="s">
        <v>54</v>
      </c>
      <c r="G849" t="s">
        <v>563</v>
      </c>
      <c r="H849" t="s">
        <v>564</v>
      </c>
      <c r="I849" t="s">
        <v>49</v>
      </c>
      <c r="J849" t="s">
        <v>57</v>
      </c>
      <c r="K849" t="s">
        <v>3396</v>
      </c>
      <c r="L849" t="s">
        <v>30</v>
      </c>
      <c r="M849" t="s">
        <v>90</v>
      </c>
      <c r="N849" t="s">
        <v>3397</v>
      </c>
      <c r="O849" s="2">
        <v>27</v>
      </c>
      <c r="P849">
        <v>2</v>
      </c>
      <c r="Q849" s="3">
        <v>0.5</v>
      </c>
      <c r="R849" s="2">
        <v>-24.57</v>
      </c>
      <c r="S849" s="2">
        <v>1.76</v>
      </c>
      <c r="T849" t="s">
        <v>33</v>
      </c>
      <c r="U849">
        <v>2014</v>
      </c>
    </row>
    <row r="850" spans="1:21" x14ac:dyDescent="0.3">
      <c r="A850" t="s">
        <v>3398</v>
      </c>
      <c r="B850" s="1">
        <v>41619</v>
      </c>
      <c r="C850" s="1">
        <v>41625</v>
      </c>
      <c r="D850" t="s">
        <v>22</v>
      </c>
      <c r="E850" t="s">
        <v>467</v>
      </c>
      <c r="F850" t="s">
        <v>24</v>
      </c>
      <c r="G850" t="s">
        <v>315</v>
      </c>
      <c r="H850" t="s">
        <v>316</v>
      </c>
      <c r="I850" t="s">
        <v>27</v>
      </c>
      <c r="J850" t="s">
        <v>212</v>
      </c>
      <c r="K850" t="s">
        <v>3399</v>
      </c>
      <c r="L850" t="s">
        <v>30</v>
      </c>
      <c r="M850" t="s">
        <v>97</v>
      </c>
      <c r="N850" t="s">
        <v>3400</v>
      </c>
      <c r="O850" s="2">
        <v>11</v>
      </c>
      <c r="P850">
        <v>1</v>
      </c>
      <c r="Q850" s="3">
        <v>0.4</v>
      </c>
      <c r="R850" s="2">
        <v>-5.9939999999999998</v>
      </c>
      <c r="S850" s="2">
        <v>0.8</v>
      </c>
      <c r="T850" t="s">
        <v>33</v>
      </c>
      <c r="U850">
        <v>2013</v>
      </c>
    </row>
    <row r="851" spans="1:21" x14ac:dyDescent="0.3">
      <c r="A851" t="s">
        <v>3401</v>
      </c>
      <c r="B851" s="1">
        <v>41558</v>
      </c>
      <c r="C851" s="1">
        <v>41562</v>
      </c>
      <c r="D851" t="s">
        <v>22</v>
      </c>
      <c r="E851" t="s">
        <v>1540</v>
      </c>
      <c r="F851" t="s">
        <v>24</v>
      </c>
      <c r="G851" t="s">
        <v>204</v>
      </c>
      <c r="H851" t="s">
        <v>205</v>
      </c>
      <c r="I851" t="s">
        <v>49</v>
      </c>
      <c r="J851" t="s">
        <v>57</v>
      </c>
      <c r="K851" t="s">
        <v>58</v>
      </c>
      <c r="L851" t="s">
        <v>59</v>
      </c>
      <c r="M851" t="s">
        <v>60</v>
      </c>
      <c r="N851" t="s">
        <v>61</v>
      </c>
      <c r="O851" s="2">
        <v>67</v>
      </c>
      <c r="P851">
        <v>3</v>
      </c>
      <c r="Q851" s="3">
        <v>0</v>
      </c>
      <c r="R851" s="2">
        <v>0</v>
      </c>
      <c r="S851" s="2">
        <v>6.42</v>
      </c>
      <c r="T851" t="s">
        <v>33</v>
      </c>
      <c r="U851">
        <v>2013</v>
      </c>
    </row>
    <row r="852" spans="1:21" x14ac:dyDescent="0.3">
      <c r="A852" t="s">
        <v>3402</v>
      </c>
      <c r="B852" s="1">
        <v>41960</v>
      </c>
      <c r="C852" s="1">
        <v>41967</v>
      </c>
      <c r="D852" t="s">
        <v>22</v>
      </c>
      <c r="E852" t="s">
        <v>3403</v>
      </c>
      <c r="F852" t="s">
        <v>36</v>
      </c>
      <c r="G852" t="s">
        <v>384</v>
      </c>
      <c r="H852" t="s">
        <v>26</v>
      </c>
      <c r="I852" t="s">
        <v>27</v>
      </c>
      <c r="J852" t="s">
        <v>28</v>
      </c>
      <c r="K852" t="s">
        <v>3404</v>
      </c>
      <c r="L852" t="s">
        <v>59</v>
      </c>
      <c r="M852" t="s">
        <v>60</v>
      </c>
      <c r="N852" t="s">
        <v>3405</v>
      </c>
      <c r="O852" s="2">
        <v>239</v>
      </c>
      <c r="P852">
        <v>14</v>
      </c>
      <c r="Q852" s="3">
        <v>0.27</v>
      </c>
      <c r="R852" s="2">
        <v>-39.311999999999998</v>
      </c>
      <c r="S852" s="2">
        <v>35.049999999999997</v>
      </c>
      <c r="T852" t="s">
        <v>77</v>
      </c>
      <c r="U852">
        <v>2014</v>
      </c>
    </row>
    <row r="853" spans="1:21" x14ac:dyDescent="0.3">
      <c r="A853" t="s">
        <v>3406</v>
      </c>
      <c r="B853" s="1">
        <v>41962</v>
      </c>
      <c r="C853" s="1">
        <v>41967</v>
      </c>
      <c r="D853" t="s">
        <v>22</v>
      </c>
      <c r="E853" t="s">
        <v>162</v>
      </c>
      <c r="F853" t="s">
        <v>36</v>
      </c>
      <c r="G853" t="s">
        <v>1509</v>
      </c>
      <c r="H853" t="s">
        <v>269</v>
      </c>
      <c r="I853" t="s">
        <v>88</v>
      </c>
      <c r="J853" t="s">
        <v>88</v>
      </c>
      <c r="K853" t="s">
        <v>3407</v>
      </c>
      <c r="L853" t="s">
        <v>59</v>
      </c>
      <c r="M853" t="s">
        <v>139</v>
      </c>
      <c r="N853" t="s">
        <v>3408</v>
      </c>
      <c r="O853" s="2">
        <v>52</v>
      </c>
      <c r="P853">
        <v>1</v>
      </c>
      <c r="Q853" s="3">
        <v>0</v>
      </c>
      <c r="R853" s="2">
        <v>9.33</v>
      </c>
      <c r="S853" s="2">
        <v>7.08</v>
      </c>
      <c r="T853" t="s">
        <v>99</v>
      </c>
      <c r="U853">
        <v>2014</v>
      </c>
    </row>
    <row r="854" spans="1:21" x14ac:dyDescent="0.3">
      <c r="A854" t="s">
        <v>3409</v>
      </c>
      <c r="B854" s="1">
        <v>41967</v>
      </c>
      <c r="C854" s="1">
        <v>41970</v>
      </c>
      <c r="D854" t="s">
        <v>45</v>
      </c>
      <c r="E854" t="s">
        <v>2486</v>
      </c>
      <c r="F854" t="s">
        <v>24</v>
      </c>
      <c r="G854" t="s">
        <v>671</v>
      </c>
      <c r="H854" t="s">
        <v>135</v>
      </c>
      <c r="I854" t="s">
        <v>136</v>
      </c>
      <c r="J854" t="s">
        <v>57</v>
      </c>
      <c r="K854" t="s">
        <v>3410</v>
      </c>
      <c r="L854" t="s">
        <v>59</v>
      </c>
      <c r="M854" t="s">
        <v>60</v>
      </c>
      <c r="N854" t="s">
        <v>3411</v>
      </c>
      <c r="O854" s="2">
        <v>28</v>
      </c>
      <c r="P854">
        <v>2</v>
      </c>
      <c r="Q854" s="3">
        <v>0</v>
      </c>
      <c r="R854" s="2">
        <v>11.076000000000001</v>
      </c>
      <c r="S854" s="2">
        <v>0.9</v>
      </c>
      <c r="T854" t="s">
        <v>33</v>
      </c>
      <c r="U854">
        <v>2014</v>
      </c>
    </row>
    <row r="855" spans="1:21" x14ac:dyDescent="0.3">
      <c r="A855" t="s">
        <v>3412</v>
      </c>
      <c r="B855" s="1">
        <v>41010</v>
      </c>
      <c r="C855" s="1">
        <v>41010</v>
      </c>
      <c r="D855" t="s">
        <v>232</v>
      </c>
      <c r="E855" t="s">
        <v>3413</v>
      </c>
      <c r="F855" t="s">
        <v>24</v>
      </c>
      <c r="G855" t="s">
        <v>1044</v>
      </c>
      <c r="H855" t="s">
        <v>844</v>
      </c>
      <c r="I855" t="s">
        <v>39</v>
      </c>
      <c r="J855" t="s">
        <v>57</v>
      </c>
      <c r="K855" t="s">
        <v>3414</v>
      </c>
      <c r="L855" t="s">
        <v>30</v>
      </c>
      <c r="M855" t="s">
        <v>90</v>
      </c>
      <c r="N855" t="s">
        <v>3415</v>
      </c>
      <c r="O855" s="2">
        <v>53</v>
      </c>
      <c r="P855">
        <v>3</v>
      </c>
      <c r="Q855" s="3">
        <v>0</v>
      </c>
      <c r="R855" s="2">
        <v>13.68</v>
      </c>
      <c r="S855" s="2">
        <v>17.100000000000001</v>
      </c>
      <c r="T855" t="s">
        <v>68</v>
      </c>
      <c r="U855">
        <v>2012</v>
      </c>
    </row>
    <row r="856" spans="1:21" x14ac:dyDescent="0.3">
      <c r="A856" t="s">
        <v>3416</v>
      </c>
      <c r="B856" s="1">
        <v>40705</v>
      </c>
      <c r="C856" s="1">
        <v>40709</v>
      </c>
      <c r="D856" t="s">
        <v>22</v>
      </c>
      <c r="E856" t="s">
        <v>3417</v>
      </c>
      <c r="F856" t="s">
        <v>24</v>
      </c>
      <c r="G856" t="s">
        <v>3418</v>
      </c>
      <c r="H856" t="s">
        <v>894</v>
      </c>
      <c r="I856" t="s">
        <v>117</v>
      </c>
      <c r="J856" t="s">
        <v>117</v>
      </c>
      <c r="K856" t="s">
        <v>3419</v>
      </c>
      <c r="L856" t="s">
        <v>30</v>
      </c>
      <c r="M856" t="s">
        <v>410</v>
      </c>
      <c r="N856" t="s">
        <v>3420</v>
      </c>
      <c r="O856" s="2">
        <v>25</v>
      </c>
      <c r="P856">
        <v>1</v>
      </c>
      <c r="Q856" s="3">
        <v>0</v>
      </c>
      <c r="R856" s="2">
        <v>4.53</v>
      </c>
      <c r="S856" s="2">
        <v>4.07</v>
      </c>
      <c r="T856" t="s">
        <v>99</v>
      </c>
      <c r="U856">
        <v>2011</v>
      </c>
    </row>
    <row r="857" spans="1:21" x14ac:dyDescent="0.3">
      <c r="A857" t="s">
        <v>3421</v>
      </c>
      <c r="B857" s="1">
        <v>41227</v>
      </c>
      <c r="C857" s="1">
        <v>41231</v>
      </c>
      <c r="D857" t="s">
        <v>22</v>
      </c>
      <c r="E857" t="s">
        <v>1218</v>
      </c>
      <c r="F857" t="s">
        <v>36</v>
      </c>
      <c r="G857" t="s">
        <v>64</v>
      </c>
      <c r="H857" t="s">
        <v>56</v>
      </c>
      <c r="I857" t="s">
        <v>49</v>
      </c>
      <c r="J857" t="s">
        <v>57</v>
      </c>
      <c r="K857" t="s">
        <v>3422</v>
      </c>
      <c r="L857" t="s">
        <v>59</v>
      </c>
      <c r="M857" t="s">
        <v>339</v>
      </c>
      <c r="N857" t="s">
        <v>3423</v>
      </c>
      <c r="O857" s="2">
        <v>443</v>
      </c>
      <c r="P857">
        <v>4</v>
      </c>
      <c r="Q857" s="3">
        <v>0.1</v>
      </c>
      <c r="R857" s="2">
        <v>73.691999999999993</v>
      </c>
      <c r="S857" s="2">
        <v>46.55</v>
      </c>
      <c r="T857" t="s">
        <v>99</v>
      </c>
      <c r="U857">
        <v>2012</v>
      </c>
    </row>
    <row r="858" spans="1:21" x14ac:dyDescent="0.3">
      <c r="A858" t="s">
        <v>3424</v>
      </c>
      <c r="B858" s="1">
        <v>41831</v>
      </c>
      <c r="C858" s="1">
        <v>41835</v>
      </c>
      <c r="D858" t="s">
        <v>22</v>
      </c>
      <c r="E858" t="s">
        <v>2623</v>
      </c>
      <c r="F858" t="s">
        <v>36</v>
      </c>
      <c r="G858" t="s">
        <v>3425</v>
      </c>
      <c r="H858" t="s">
        <v>637</v>
      </c>
      <c r="I858" t="s">
        <v>88</v>
      </c>
      <c r="J858" t="s">
        <v>88</v>
      </c>
      <c r="K858" t="s">
        <v>3426</v>
      </c>
      <c r="L858" t="s">
        <v>146</v>
      </c>
      <c r="M858" t="s">
        <v>347</v>
      </c>
      <c r="N858" t="s">
        <v>3427</v>
      </c>
      <c r="O858" s="2">
        <v>129</v>
      </c>
      <c r="P858">
        <v>1</v>
      </c>
      <c r="Q858" s="3">
        <v>0</v>
      </c>
      <c r="R858" s="2">
        <v>25.74</v>
      </c>
      <c r="S858" s="2">
        <v>15.5</v>
      </c>
      <c r="T858" t="s">
        <v>99</v>
      </c>
      <c r="U858">
        <v>2014</v>
      </c>
    </row>
    <row r="859" spans="1:21" x14ac:dyDescent="0.3">
      <c r="A859" t="s">
        <v>3428</v>
      </c>
      <c r="B859" s="1">
        <v>41957</v>
      </c>
      <c r="C859" s="1">
        <v>41961</v>
      </c>
      <c r="D859" t="s">
        <v>22</v>
      </c>
      <c r="E859" t="s">
        <v>1787</v>
      </c>
      <c r="F859" t="s">
        <v>36</v>
      </c>
      <c r="G859" t="s">
        <v>1466</v>
      </c>
      <c r="H859" t="s">
        <v>296</v>
      </c>
      <c r="I859" t="s">
        <v>88</v>
      </c>
      <c r="J859" t="s">
        <v>88</v>
      </c>
      <c r="K859" t="s">
        <v>3429</v>
      </c>
      <c r="L859" t="s">
        <v>59</v>
      </c>
      <c r="M859" t="s">
        <v>139</v>
      </c>
      <c r="N859" t="s">
        <v>3430</v>
      </c>
      <c r="O859" s="2">
        <v>172</v>
      </c>
      <c r="P859">
        <v>1</v>
      </c>
      <c r="Q859" s="3">
        <v>0</v>
      </c>
      <c r="R859" s="2">
        <v>58.29</v>
      </c>
      <c r="S859" s="2">
        <v>17.649999999999999</v>
      </c>
      <c r="T859" t="s">
        <v>99</v>
      </c>
      <c r="U859">
        <v>2014</v>
      </c>
    </row>
    <row r="860" spans="1:21" x14ac:dyDescent="0.3">
      <c r="A860" t="s">
        <v>3431</v>
      </c>
      <c r="B860" s="1">
        <v>40766</v>
      </c>
      <c r="C860" s="1">
        <v>40773</v>
      </c>
      <c r="D860" t="s">
        <v>22</v>
      </c>
      <c r="E860" t="s">
        <v>3432</v>
      </c>
      <c r="F860" t="s">
        <v>54</v>
      </c>
      <c r="G860" t="s">
        <v>3433</v>
      </c>
      <c r="H860" t="s">
        <v>72</v>
      </c>
      <c r="I860" t="s">
        <v>27</v>
      </c>
      <c r="J860" t="s">
        <v>73</v>
      </c>
      <c r="K860" t="s">
        <v>3434</v>
      </c>
      <c r="L860" t="s">
        <v>30</v>
      </c>
      <c r="M860" t="s">
        <v>75</v>
      </c>
      <c r="N860" t="s">
        <v>3435</v>
      </c>
      <c r="O860" s="2">
        <v>9</v>
      </c>
      <c r="P860">
        <v>1</v>
      </c>
      <c r="Q860" s="3">
        <v>0</v>
      </c>
      <c r="R860" s="2">
        <v>2.58</v>
      </c>
      <c r="S860" s="2">
        <v>0.71</v>
      </c>
      <c r="T860" t="s">
        <v>77</v>
      </c>
      <c r="U860">
        <v>2011</v>
      </c>
    </row>
    <row r="861" spans="1:21" x14ac:dyDescent="0.3">
      <c r="A861" t="s">
        <v>3436</v>
      </c>
      <c r="B861" s="1">
        <v>41801</v>
      </c>
      <c r="C861" s="1">
        <v>41804</v>
      </c>
      <c r="D861" t="s">
        <v>84</v>
      </c>
      <c r="E861" t="s">
        <v>1156</v>
      </c>
      <c r="F861" t="s">
        <v>54</v>
      </c>
      <c r="G861" t="s">
        <v>893</v>
      </c>
      <c r="H861" t="s">
        <v>894</v>
      </c>
      <c r="I861" t="s">
        <v>117</v>
      </c>
      <c r="J861" t="s">
        <v>117</v>
      </c>
      <c r="K861" t="s">
        <v>3437</v>
      </c>
      <c r="L861" t="s">
        <v>30</v>
      </c>
      <c r="M861" t="s">
        <v>370</v>
      </c>
      <c r="N861" t="s">
        <v>3438</v>
      </c>
      <c r="O861" s="2">
        <v>172</v>
      </c>
      <c r="P861">
        <v>4</v>
      </c>
      <c r="Q861" s="3">
        <v>0</v>
      </c>
      <c r="R861" s="2">
        <v>41.28</v>
      </c>
      <c r="S861" s="2">
        <v>43.57</v>
      </c>
      <c r="T861" t="s">
        <v>68</v>
      </c>
      <c r="U861">
        <v>2014</v>
      </c>
    </row>
    <row r="862" spans="1:21" x14ac:dyDescent="0.3">
      <c r="A862" t="s">
        <v>3439</v>
      </c>
      <c r="B862" s="1">
        <v>41967</v>
      </c>
      <c r="C862" s="1">
        <v>41973</v>
      </c>
      <c r="D862" t="s">
        <v>22</v>
      </c>
      <c r="E862" t="s">
        <v>3440</v>
      </c>
      <c r="F862" t="s">
        <v>54</v>
      </c>
      <c r="G862" t="s">
        <v>1176</v>
      </c>
      <c r="H862" t="s">
        <v>1177</v>
      </c>
      <c r="I862" t="s">
        <v>27</v>
      </c>
      <c r="J862" t="s">
        <v>28</v>
      </c>
      <c r="K862" t="s">
        <v>338</v>
      </c>
      <c r="L862" t="s">
        <v>59</v>
      </c>
      <c r="M862" t="s">
        <v>339</v>
      </c>
      <c r="N862" t="s">
        <v>340</v>
      </c>
      <c r="O862" s="2">
        <v>458</v>
      </c>
      <c r="P862">
        <v>2</v>
      </c>
      <c r="Q862" s="3">
        <v>0.37</v>
      </c>
      <c r="R862" s="2">
        <v>-210.99719999999999</v>
      </c>
      <c r="S862" s="2">
        <v>33.46</v>
      </c>
      <c r="T862" t="s">
        <v>33</v>
      </c>
      <c r="U862">
        <v>2014</v>
      </c>
    </row>
    <row r="863" spans="1:21" x14ac:dyDescent="0.3">
      <c r="A863" t="s">
        <v>3441</v>
      </c>
      <c r="B863" s="1">
        <v>41591</v>
      </c>
      <c r="C863" s="1">
        <v>41597</v>
      </c>
      <c r="D863" t="s">
        <v>22</v>
      </c>
      <c r="E863" t="s">
        <v>2409</v>
      </c>
      <c r="F863" t="s">
        <v>54</v>
      </c>
      <c r="G863" t="s">
        <v>3442</v>
      </c>
      <c r="H863" t="s">
        <v>218</v>
      </c>
      <c r="I863" t="s">
        <v>218</v>
      </c>
      <c r="J863" t="s">
        <v>218</v>
      </c>
      <c r="K863" t="s">
        <v>3443</v>
      </c>
      <c r="L863" t="s">
        <v>30</v>
      </c>
      <c r="M863" t="s">
        <v>31</v>
      </c>
      <c r="N863" t="s">
        <v>3294</v>
      </c>
      <c r="O863" s="2">
        <v>60</v>
      </c>
      <c r="P863">
        <v>2</v>
      </c>
      <c r="Q863" s="3">
        <v>0</v>
      </c>
      <c r="R863" s="2">
        <v>11.4</v>
      </c>
      <c r="S863" s="2">
        <v>4.16</v>
      </c>
      <c r="T863" t="s">
        <v>33</v>
      </c>
      <c r="U863">
        <v>2013</v>
      </c>
    </row>
    <row r="864" spans="1:21" x14ac:dyDescent="0.3">
      <c r="A864" t="s">
        <v>3444</v>
      </c>
      <c r="B864" s="1">
        <v>41593</v>
      </c>
      <c r="C864" s="1">
        <v>41595</v>
      </c>
      <c r="D864" t="s">
        <v>45</v>
      </c>
      <c r="E864" t="s">
        <v>3445</v>
      </c>
      <c r="F864" t="s">
        <v>54</v>
      </c>
      <c r="G864" t="s">
        <v>1804</v>
      </c>
      <c r="H864" t="s">
        <v>135</v>
      </c>
      <c r="I864" t="s">
        <v>136</v>
      </c>
      <c r="J864" t="s">
        <v>40</v>
      </c>
      <c r="K864" t="s">
        <v>375</v>
      </c>
      <c r="L864" t="s">
        <v>30</v>
      </c>
      <c r="M864" t="s">
        <v>105</v>
      </c>
      <c r="N864" t="s">
        <v>2677</v>
      </c>
      <c r="O864" s="2">
        <v>5</v>
      </c>
      <c r="P864">
        <v>1</v>
      </c>
      <c r="Q864" s="3">
        <v>0</v>
      </c>
      <c r="R864" s="2">
        <v>2.3759999999999999</v>
      </c>
      <c r="S864" s="2">
        <v>1.75</v>
      </c>
      <c r="T864" t="s">
        <v>68</v>
      </c>
      <c r="U864">
        <v>2013</v>
      </c>
    </row>
    <row r="865" spans="1:21" x14ac:dyDescent="0.3">
      <c r="A865" t="s">
        <v>3446</v>
      </c>
      <c r="B865" s="1">
        <v>41969</v>
      </c>
      <c r="C865" s="1">
        <v>41970</v>
      </c>
      <c r="D865" t="s">
        <v>84</v>
      </c>
      <c r="E865" t="s">
        <v>2679</v>
      </c>
      <c r="F865" t="s">
        <v>54</v>
      </c>
      <c r="G865" t="s">
        <v>2146</v>
      </c>
      <c r="H865" t="s">
        <v>152</v>
      </c>
      <c r="I865" t="s">
        <v>27</v>
      </c>
      <c r="J865" t="s">
        <v>153</v>
      </c>
      <c r="K865" t="s">
        <v>3447</v>
      </c>
      <c r="L865" t="s">
        <v>59</v>
      </c>
      <c r="M865" t="s">
        <v>139</v>
      </c>
      <c r="N865" t="s">
        <v>2201</v>
      </c>
      <c r="O865" s="2">
        <v>305</v>
      </c>
      <c r="P865">
        <v>7</v>
      </c>
      <c r="Q865" s="3">
        <v>0</v>
      </c>
      <c r="R865" s="2">
        <v>2.94</v>
      </c>
      <c r="S865" s="2">
        <v>76.05</v>
      </c>
      <c r="T865" t="s">
        <v>68</v>
      </c>
      <c r="U865">
        <v>2014</v>
      </c>
    </row>
    <row r="866" spans="1:21" x14ac:dyDescent="0.3">
      <c r="A866" t="s">
        <v>3448</v>
      </c>
      <c r="B866" s="1">
        <v>41242</v>
      </c>
      <c r="C866" s="1">
        <v>41244</v>
      </c>
      <c r="D866" t="s">
        <v>45</v>
      </c>
      <c r="E866" t="s">
        <v>2388</v>
      </c>
      <c r="F866" t="s">
        <v>36</v>
      </c>
      <c r="G866" t="s">
        <v>337</v>
      </c>
      <c r="H866" t="s">
        <v>316</v>
      </c>
      <c r="I866" t="s">
        <v>27</v>
      </c>
      <c r="J866" t="s">
        <v>212</v>
      </c>
      <c r="K866" t="s">
        <v>650</v>
      </c>
      <c r="L866" t="s">
        <v>30</v>
      </c>
      <c r="M866" t="s">
        <v>31</v>
      </c>
      <c r="N866" t="s">
        <v>651</v>
      </c>
      <c r="O866" s="2">
        <v>95</v>
      </c>
      <c r="P866">
        <v>2</v>
      </c>
      <c r="Q866" s="3">
        <v>0.1</v>
      </c>
      <c r="R866" s="2">
        <v>32.795999999999999</v>
      </c>
      <c r="S866" s="2">
        <v>14.98</v>
      </c>
      <c r="T866" t="s">
        <v>68</v>
      </c>
      <c r="U866">
        <v>2012</v>
      </c>
    </row>
    <row r="867" spans="1:21" x14ac:dyDescent="0.3">
      <c r="A867" t="s">
        <v>3449</v>
      </c>
      <c r="B867" s="1">
        <v>41254</v>
      </c>
      <c r="C867" s="1">
        <v>41259</v>
      </c>
      <c r="D867" t="s">
        <v>22</v>
      </c>
      <c r="E867" t="s">
        <v>1681</v>
      </c>
      <c r="F867" t="s">
        <v>24</v>
      </c>
      <c r="G867" t="s">
        <v>37</v>
      </c>
      <c r="H867" t="s">
        <v>38</v>
      </c>
      <c r="I867" t="s">
        <v>39</v>
      </c>
      <c r="J867" t="s">
        <v>40</v>
      </c>
      <c r="K867" t="s">
        <v>3450</v>
      </c>
      <c r="L867" t="s">
        <v>59</v>
      </c>
      <c r="M867" t="s">
        <v>139</v>
      </c>
      <c r="N867" t="s">
        <v>3451</v>
      </c>
      <c r="O867" s="2">
        <v>348</v>
      </c>
      <c r="P867">
        <v>3</v>
      </c>
      <c r="Q867" s="3">
        <v>0</v>
      </c>
      <c r="R867" s="2">
        <v>97.38</v>
      </c>
      <c r="S867" s="2">
        <v>28.1</v>
      </c>
      <c r="T867" t="s">
        <v>33</v>
      </c>
      <c r="U867">
        <v>2012</v>
      </c>
    </row>
    <row r="868" spans="1:21" x14ac:dyDescent="0.3">
      <c r="A868" t="s">
        <v>3452</v>
      </c>
      <c r="B868" s="1">
        <v>40862</v>
      </c>
      <c r="C868" s="1">
        <v>40865</v>
      </c>
      <c r="D868" t="s">
        <v>84</v>
      </c>
      <c r="E868" t="s">
        <v>3453</v>
      </c>
      <c r="F868" t="s">
        <v>54</v>
      </c>
      <c r="G868" t="s">
        <v>134</v>
      </c>
      <c r="H868" t="s">
        <v>135</v>
      </c>
      <c r="I868" t="s">
        <v>136</v>
      </c>
      <c r="J868" t="s">
        <v>137</v>
      </c>
      <c r="K868" t="s">
        <v>3454</v>
      </c>
      <c r="L868" t="s">
        <v>59</v>
      </c>
      <c r="M868" t="s">
        <v>60</v>
      </c>
      <c r="N868" t="s">
        <v>3455</v>
      </c>
      <c r="O868" s="2">
        <v>10</v>
      </c>
      <c r="P868">
        <v>3</v>
      </c>
      <c r="Q868" s="3">
        <v>0</v>
      </c>
      <c r="R868" s="2">
        <v>3.2351999999999999</v>
      </c>
      <c r="S868" s="2">
        <v>1.3</v>
      </c>
      <c r="T868" t="s">
        <v>33</v>
      </c>
      <c r="U868">
        <v>2011</v>
      </c>
    </row>
    <row r="869" spans="1:21" x14ac:dyDescent="0.3">
      <c r="A869" t="s">
        <v>3456</v>
      </c>
      <c r="B869" s="1">
        <v>41600</v>
      </c>
      <c r="C869" s="1">
        <v>41606</v>
      </c>
      <c r="D869" t="s">
        <v>22</v>
      </c>
      <c r="E869" t="s">
        <v>150</v>
      </c>
      <c r="F869" t="s">
        <v>54</v>
      </c>
      <c r="G869" t="s">
        <v>3457</v>
      </c>
      <c r="H869" t="s">
        <v>402</v>
      </c>
      <c r="I869" t="s">
        <v>39</v>
      </c>
      <c r="J869" t="s">
        <v>236</v>
      </c>
      <c r="K869" t="s">
        <v>3225</v>
      </c>
      <c r="L869" t="s">
        <v>30</v>
      </c>
      <c r="M869" t="s">
        <v>31</v>
      </c>
      <c r="N869" t="s">
        <v>3226</v>
      </c>
      <c r="O869" s="2">
        <v>16</v>
      </c>
      <c r="P869">
        <v>3</v>
      </c>
      <c r="Q869" s="3">
        <v>0</v>
      </c>
      <c r="R869" s="2">
        <v>3.48</v>
      </c>
      <c r="S869" s="2">
        <v>1.5</v>
      </c>
      <c r="T869" t="s">
        <v>33</v>
      </c>
      <c r="U869">
        <v>2013</v>
      </c>
    </row>
    <row r="870" spans="1:21" x14ac:dyDescent="0.3">
      <c r="A870" t="s">
        <v>3458</v>
      </c>
      <c r="B870" s="1">
        <v>41862</v>
      </c>
      <c r="C870" s="1">
        <v>41868</v>
      </c>
      <c r="D870" t="s">
        <v>22</v>
      </c>
      <c r="E870" t="s">
        <v>3459</v>
      </c>
      <c r="F870" t="s">
        <v>54</v>
      </c>
      <c r="G870" t="s">
        <v>2470</v>
      </c>
      <c r="H870" t="s">
        <v>2471</v>
      </c>
      <c r="I870" t="s">
        <v>49</v>
      </c>
      <c r="J870" t="s">
        <v>129</v>
      </c>
      <c r="K870" t="s">
        <v>3460</v>
      </c>
      <c r="L870" t="s">
        <v>30</v>
      </c>
      <c r="M870" t="s">
        <v>31</v>
      </c>
      <c r="N870" t="s">
        <v>3461</v>
      </c>
      <c r="O870" s="2">
        <v>32</v>
      </c>
      <c r="P870">
        <v>5</v>
      </c>
      <c r="Q870" s="3">
        <v>0.5</v>
      </c>
      <c r="R870" s="2">
        <v>-4.5</v>
      </c>
      <c r="S870" s="2">
        <v>3.29</v>
      </c>
      <c r="T870" t="s">
        <v>33</v>
      </c>
      <c r="U870">
        <v>2014</v>
      </c>
    </row>
    <row r="871" spans="1:21" x14ac:dyDescent="0.3">
      <c r="A871" t="s">
        <v>3462</v>
      </c>
      <c r="B871" s="1">
        <v>41963</v>
      </c>
      <c r="C871" s="1">
        <v>41966</v>
      </c>
      <c r="D871" t="s">
        <v>84</v>
      </c>
      <c r="E871" t="s">
        <v>3463</v>
      </c>
      <c r="F871" t="s">
        <v>54</v>
      </c>
      <c r="G871" t="s">
        <v>315</v>
      </c>
      <c r="H871" t="s">
        <v>316</v>
      </c>
      <c r="I871" t="s">
        <v>27</v>
      </c>
      <c r="J871" t="s">
        <v>212</v>
      </c>
      <c r="K871" t="s">
        <v>3464</v>
      </c>
      <c r="L871" t="s">
        <v>146</v>
      </c>
      <c r="M871" t="s">
        <v>195</v>
      </c>
      <c r="N871" t="s">
        <v>3465</v>
      </c>
      <c r="O871" s="2">
        <v>1113</v>
      </c>
      <c r="P871">
        <v>6</v>
      </c>
      <c r="Q871" s="3">
        <v>0.4</v>
      </c>
      <c r="R871" s="2">
        <v>-705.096</v>
      </c>
      <c r="S871" s="2">
        <v>196.55</v>
      </c>
      <c r="T871" t="s">
        <v>68</v>
      </c>
      <c r="U871">
        <v>2014</v>
      </c>
    </row>
    <row r="872" spans="1:21" x14ac:dyDescent="0.3">
      <c r="A872" t="s">
        <v>3466</v>
      </c>
      <c r="B872" s="1">
        <v>41969</v>
      </c>
      <c r="C872" s="1">
        <v>41973</v>
      </c>
      <c r="D872" t="s">
        <v>45</v>
      </c>
      <c r="E872" t="s">
        <v>406</v>
      </c>
      <c r="F872" t="s">
        <v>24</v>
      </c>
      <c r="G872" t="s">
        <v>134</v>
      </c>
      <c r="H872" t="s">
        <v>135</v>
      </c>
      <c r="I872" t="s">
        <v>136</v>
      </c>
      <c r="J872" t="s">
        <v>137</v>
      </c>
      <c r="K872" t="s">
        <v>3467</v>
      </c>
      <c r="L872" t="s">
        <v>146</v>
      </c>
      <c r="M872" t="s">
        <v>147</v>
      </c>
      <c r="N872" t="s">
        <v>3468</v>
      </c>
      <c r="O872" s="2">
        <v>40</v>
      </c>
      <c r="P872">
        <v>5</v>
      </c>
      <c r="Q872" s="3">
        <v>0.2</v>
      </c>
      <c r="R872" s="2">
        <v>3.4965000000000002</v>
      </c>
      <c r="S872" s="2">
        <v>3.06</v>
      </c>
      <c r="T872" t="s">
        <v>33</v>
      </c>
      <c r="U872">
        <v>2014</v>
      </c>
    </row>
    <row r="873" spans="1:21" x14ac:dyDescent="0.3">
      <c r="A873" t="s">
        <v>3469</v>
      </c>
      <c r="B873" s="1">
        <v>41593</v>
      </c>
      <c r="C873" s="1">
        <v>41597</v>
      </c>
      <c r="D873" t="s">
        <v>45</v>
      </c>
      <c r="E873" t="s">
        <v>3470</v>
      </c>
      <c r="F873" t="s">
        <v>36</v>
      </c>
      <c r="G873" t="s">
        <v>822</v>
      </c>
      <c r="H873" t="s">
        <v>235</v>
      </c>
      <c r="I873" t="s">
        <v>39</v>
      </c>
      <c r="J873" t="s">
        <v>236</v>
      </c>
      <c r="K873" t="s">
        <v>3471</v>
      </c>
      <c r="L873" t="s">
        <v>30</v>
      </c>
      <c r="M873" t="s">
        <v>75</v>
      </c>
      <c r="N873" t="s">
        <v>3472</v>
      </c>
      <c r="O873" s="2">
        <v>16</v>
      </c>
      <c r="P873">
        <v>3</v>
      </c>
      <c r="Q873" s="3">
        <v>0.2</v>
      </c>
      <c r="R873" s="2">
        <v>-1.284</v>
      </c>
      <c r="S873" s="2">
        <v>0.69</v>
      </c>
      <c r="T873" t="s">
        <v>33</v>
      </c>
      <c r="U873">
        <v>2013</v>
      </c>
    </row>
    <row r="874" spans="1:21" x14ac:dyDescent="0.3">
      <c r="A874" t="s">
        <v>3473</v>
      </c>
      <c r="B874" s="1">
        <v>41740</v>
      </c>
      <c r="C874" s="1">
        <v>41746</v>
      </c>
      <c r="D874" t="s">
        <v>22</v>
      </c>
      <c r="E874" t="s">
        <v>621</v>
      </c>
      <c r="F874" t="s">
        <v>36</v>
      </c>
      <c r="G874" t="s">
        <v>1942</v>
      </c>
      <c r="H874" t="s">
        <v>1147</v>
      </c>
      <c r="I874" t="s">
        <v>39</v>
      </c>
      <c r="J874" t="s">
        <v>129</v>
      </c>
      <c r="K874" t="s">
        <v>3474</v>
      </c>
      <c r="L874" t="s">
        <v>30</v>
      </c>
      <c r="M874" t="s">
        <v>31</v>
      </c>
      <c r="N874" t="s">
        <v>3475</v>
      </c>
      <c r="O874" s="2">
        <v>13</v>
      </c>
      <c r="P874">
        <v>4</v>
      </c>
      <c r="Q874" s="3">
        <v>0</v>
      </c>
      <c r="R874" s="2">
        <v>2.88</v>
      </c>
      <c r="S874" s="2">
        <v>1.1499999999999999</v>
      </c>
      <c r="T874" t="s">
        <v>33</v>
      </c>
      <c r="U874">
        <v>2014</v>
      </c>
    </row>
    <row r="875" spans="1:21" x14ac:dyDescent="0.3">
      <c r="A875" t="s">
        <v>3476</v>
      </c>
      <c r="B875" s="1">
        <v>41961</v>
      </c>
      <c r="C875" s="1">
        <v>41965</v>
      </c>
      <c r="D875" t="s">
        <v>22</v>
      </c>
      <c r="E875" t="s">
        <v>1557</v>
      </c>
      <c r="F875" t="s">
        <v>54</v>
      </c>
      <c r="G875" t="s">
        <v>728</v>
      </c>
      <c r="H875" t="s">
        <v>87</v>
      </c>
      <c r="I875" t="s">
        <v>88</v>
      </c>
      <c r="J875" t="s">
        <v>88</v>
      </c>
      <c r="K875" t="s">
        <v>3477</v>
      </c>
      <c r="L875" t="s">
        <v>146</v>
      </c>
      <c r="M875" t="s">
        <v>195</v>
      </c>
      <c r="N875" t="s">
        <v>3478</v>
      </c>
      <c r="O875" s="2">
        <v>122</v>
      </c>
      <c r="P875">
        <v>1</v>
      </c>
      <c r="Q875" s="3">
        <v>0.6</v>
      </c>
      <c r="R875" s="2">
        <v>-97.721999999999994</v>
      </c>
      <c r="S875" s="2">
        <v>6.98</v>
      </c>
      <c r="T875" t="s">
        <v>33</v>
      </c>
      <c r="U875">
        <v>2014</v>
      </c>
    </row>
    <row r="876" spans="1:21" x14ac:dyDescent="0.3">
      <c r="A876" t="s">
        <v>3479</v>
      </c>
      <c r="B876" s="1">
        <v>41232</v>
      </c>
      <c r="C876" s="1">
        <v>41237</v>
      </c>
      <c r="D876" t="s">
        <v>22</v>
      </c>
      <c r="E876" t="s">
        <v>126</v>
      </c>
      <c r="F876" t="s">
        <v>24</v>
      </c>
      <c r="G876" t="s">
        <v>193</v>
      </c>
      <c r="H876" t="s">
        <v>152</v>
      </c>
      <c r="I876" t="s">
        <v>27</v>
      </c>
      <c r="J876" t="s">
        <v>153</v>
      </c>
      <c r="K876" t="s">
        <v>3480</v>
      </c>
      <c r="L876" t="s">
        <v>30</v>
      </c>
      <c r="M876" t="s">
        <v>90</v>
      </c>
      <c r="N876" t="s">
        <v>2473</v>
      </c>
      <c r="O876" s="2">
        <v>225</v>
      </c>
      <c r="P876">
        <v>7</v>
      </c>
      <c r="Q876" s="3">
        <v>0</v>
      </c>
      <c r="R876" s="2">
        <v>11.13</v>
      </c>
      <c r="S876" s="2">
        <v>22.39</v>
      </c>
      <c r="T876" t="s">
        <v>33</v>
      </c>
      <c r="U876">
        <v>2012</v>
      </c>
    </row>
    <row r="877" spans="1:21" x14ac:dyDescent="0.3">
      <c r="A877" t="s">
        <v>3481</v>
      </c>
      <c r="B877" s="1">
        <v>41071</v>
      </c>
      <c r="C877" s="1">
        <v>41074</v>
      </c>
      <c r="D877" t="s">
        <v>45</v>
      </c>
      <c r="E877" t="s">
        <v>3482</v>
      </c>
      <c r="F877" t="s">
        <v>54</v>
      </c>
      <c r="G877" t="s">
        <v>722</v>
      </c>
      <c r="H877" t="s">
        <v>723</v>
      </c>
      <c r="I877" t="s">
        <v>27</v>
      </c>
      <c r="J877" t="s">
        <v>28</v>
      </c>
      <c r="K877" t="s">
        <v>3483</v>
      </c>
      <c r="L877" t="s">
        <v>30</v>
      </c>
      <c r="M877" t="s">
        <v>75</v>
      </c>
      <c r="N877" t="s">
        <v>2763</v>
      </c>
      <c r="O877" s="2">
        <v>7</v>
      </c>
      <c r="P877">
        <v>1</v>
      </c>
      <c r="Q877" s="3">
        <v>0.45</v>
      </c>
      <c r="R877" s="2">
        <v>0.2175</v>
      </c>
      <c r="S877" s="2">
        <v>0.42</v>
      </c>
      <c r="T877" t="s">
        <v>33</v>
      </c>
      <c r="U877">
        <v>2012</v>
      </c>
    </row>
    <row r="878" spans="1:21" x14ac:dyDescent="0.3">
      <c r="A878" t="s">
        <v>3484</v>
      </c>
      <c r="B878" s="1">
        <v>41961</v>
      </c>
      <c r="C878" s="1">
        <v>41965</v>
      </c>
      <c r="D878" t="s">
        <v>22</v>
      </c>
      <c r="E878" t="s">
        <v>994</v>
      </c>
      <c r="F878" t="s">
        <v>24</v>
      </c>
      <c r="G878" t="s">
        <v>64</v>
      </c>
      <c r="H878" t="s">
        <v>56</v>
      </c>
      <c r="I878" t="s">
        <v>49</v>
      </c>
      <c r="J878" t="s">
        <v>57</v>
      </c>
      <c r="K878" t="s">
        <v>3485</v>
      </c>
      <c r="L878" t="s">
        <v>30</v>
      </c>
      <c r="M878" t="s">
        <v>42</v>
      </c>
      <c r="N878" t="s">
        <v>3486</v>
      </c>
      <c r="O878" s="2">
        <v>226</v>
      </c>
      <c r="P878">
        <v>3</v>
      </c>
      <c r="Q878" s="3">
        <v>0.1</v>
      </c>
      <c r="R878" s="2">
        <v>-5.0220000000000002</v>
      </c>
      <c r="S878" s="2">
        <v>14.53</v>
      </c>
      <c r="T878" t="s">
        <v>33</v>
      </c>
      <c r="U878">
        <v>2014</v>
      </c>
    </row>
    <row r="879" spans="1:21" x14ac:dyDescent="0.3">
      <c r="A879" t="s">
        <v>3449</v>
      </c>
      <c r="B879" s="1">
        <v>41254</v>
      </c>
      <c r="C879" s="1">
        <v>41259</v>
      </c>
      <c r="D879" t="s">
        <v>22</v>
      </c>
      <c r="E879" t="s">
        <v>1681</v>
      </c>
      <c r="F879" t="s">
        <v>24</v>
      </c>
      <c r="G879" t="s">
        <v>37</v>
      </c>
      <c r="H879" t="s">
        <v>38</v>
      </c>
      <c r="I879" t="s">
        <v>39</v>
      </c>
      <c r="J879" t="s">
        <v>40</v>
      </c>
      <c r="K879" t="s">
        <v>3487</v>
      </c>
      <c r="L879" t="s">
        <v>30</v>
      </c>
      <c r="M879" t="s">
        <v>97</v>
      </c>
      <c r="N879" t="s">
        <v>3488</v>
      </c>
      <c r="O879" s="2">
        <v>19</v>
      </c>
      <c r="P879">
        <v>2</v>
      </c>
      <c r="Q879" s="3">
        <v>0</v>
      </c>
      <c r="R879" s="2">
        <v>6.12</v>
      </c>
      <c r="S879" s="2">
        <v>2.21</v>
      </c>
      <c r="T879" t="s">
        <v>33</v>
      </c>
      <c r="U879">
        <v>2012</v>
      </c>
    </row>
    <row r="880" spans="1:21" x14ac:dyDescent="0.3">
      <c r="A880" t="s">
        <v>3489</v>
      </c>
      <c r="B880" s="1">
        <v>41228</v>
      </c>
      <c r="C880" s="1">
        <v>41233</v>
      </c>
      <c r="D880" t="s">
        <v>22</v>
      </c>
      <c r="E880" t="s">
        <v>364</v>
      </c>
      <c r="F880" t="s">
        <v>36</v>
      </c>
      <c r="G880" t="s">
        <v>315</v>
      </c>
      <c r="H880" t="s">
        <v>316</v>
      </c>
      <c r="I880" t="s">
        <v>27</v>
      </c>
      <c r="J880" t="s">
        <v>212</v>
      </c>
      <c r="K880" t="s">
        <v>3490</v>
      </c>
      <c r="L880" t="s">
        <v>30</v>
      </c>
      <c r="M880" t="s">
        <v>42</v>
      </c>
      <c r="N880" t="s">
        <v>1312</v>
      </c>
      <c r="O880" s="2">
        <v>3421</v>
      </c>
      <c r="P880">
        <v>7</v>
      </c>
      <c r="Q880" s="3">
        <v>0.1</v>
      </c>
      <c r="R880" s="2">
        <v>874.16700000000003</v>
      </c>
      <c r="S880" s="2">
        <v>110.5</v>
      </c>
      <c r="T880" t="s">
        <v>99</v>
      </c>
      <c r="U880">
        <v>2012</v>
      </c>
    </row>
    <row r="881" spans="1:21" x14ac:dyDescent="0.3">
      <c r="A881" t="s">
        <v>3491</v>
      </c>
      <c r="B881" s="1">
        <v>41964</v>
      </c>
      <c r="C881" s="1">
        <v>41966</v>
      </c>
      <c r="D881" t="s">
        <v>45</v>
      </c>
      <c r="E881" t="s">
        <v>2890</v>
      </c>
      <c r="F881" t="s">
        <v>54</v>
      </c>
      <c r="G881" t="s">
        <v>332</v>
      </c>
      <c r="H881" t="s">
        <v>152</v>
      </c>
      <c r="I881" t="s">
        <v>27</v>
      </c>
      <c r="J881" t="s">
        <v>153</v>
      </c>
      <c r="K881" t="s">
        <v>3492</v>
      </c>
      <c r="L881" t="s">
        <v>30</v>
      </c>
      <c r="M881" t="s">
        <v>97</v>
      </c>
      <c r="N881" t="s">
        <v>3493</v>
      </c>
      <c r="O881" s="2">
        <v>27</v>
      </c>
      <c r="P881">
        <v>2</v>
      </c>
      <c r="Q881" s="3">
        <v>0</v>
      </c>
      <c r="R881" s="2">
        <v>4.8600000000000003</v>
      </c>
      <c r="S881" s="2">
        <v>1.47</v>
      </c>
      <c r="T881" t="s">
        <v>33</v>
      </c>
      <c r="U881">
        <v>2014</v>
      </c>
    </row>
    <row r="882" spans="1:21" x14ac:dyDescent="0.3">
      <c r="A882" t="s">
        <v>3494</v>
      </c>
      <c r="B882" s="1">
        <v>41597</v>
      </c>
      <c r="C882" s="1">
        <v>41599</v>
      </c>
      <c r="D882" t="s">
        <v>84</v>
      </c>
      <c r="E882" t="s">
        <v>826</v>
      </c>
      <c r="F882" t="s">
        <v>24</v>
      </c>
      <c r="G882" t="s">
        <v>127</v>
      </c>
      <c r="H882" t="s">
        <v>128</v>
      </c>
      <c r="I882" t="s">
        <v>49</v>
      </c>
      <c r="J882" t="s">
        <v>129</v>
      </c>
      <c r="K882" t="s">
        <v>3495</v>
      </c>
      <c r="L882" t="s">
        <v>30</v>
      </c>
      <c r="M882" t="s">
        <v>66</v>
      </c>
      <c r="N882" t="s">
        <v>3496</v>
      </c>
      <c r="O882" s="2">
        <v>494</v>
      </c>
      <c r="P882">
        <v>8</v>
      </c>
      <c r="Q882" s="3">
        <v>0</v>
      </c>
      <c r="R882" s="2">
        <v>34.32</v>
      </c>
      <c r="S882" s="2">
        <v>16.510000000000002</v>
      </c>
      <c r="T882" t="s">
        <v>99</v>
      </c>
      <c r="U882">
        <v>2013</v>
      </c>
    </row>
    <row r="883" spans="1:21" x14ac:dyDescent="0.3">
      <c r="A883" t="s">
        <v>3497</v>
      </c>
      <c r="B883" s="1">
        <v>41600</v>
      </c>
      <c r="C883" s="1">
        <v>41604</v>
      </c>
      <c r="D883" t="s">
        <v>22</v>
      </c>
      <c r="E883" t="s">
        <v>2531</v>
      </c>
      <c r="F883" t="s">
        <v>24</v>
      </c>
      <c r="G883" t="s">
        <v>64</v>
      </c>
      <c r="H883" t="s">
        <v>56</v>
      </c>
      <c r="I883" t="s">
        <v>49</v>
      </c>
      <c r="J883" t="s">
        <v>57</v>
      </c>
      <c r="K883" t="s">
        <v>3498</v>
      </c>
      <c r="L883" t="s">
        <v>30</v>
      </c>
      <c r="M883" t="s">
        <v>90</v>
      </c>
      <c r="N883" t="s">
        <v>3499</v>
      </c>
      <c r="O883" s="2">
        <v>107</v>
      </c>
      <c r="P883">
        <v>4</v>
      </c>
      <c r="Q883" s="3">
        <v>0</v>
      </c>
      <c r="R883" s="2">
        <v>9.48</v>
      </c>
      <c r="S883" s="2">
        <v>7.32</v>
      </c>
      <c r="T883" t="s">
        <v>33</v>
      </c>
      <c r="U883">
        <v>2013</v>
      </c>
    </row>
    <row r="884" spans="1:21" x14ac:dyDescent="0.3">
      <c r="A884" t="s">
        <v>3500</v>
      </c>
      <c r="B884" s="1">
        <v>40869</v>
      </c>
      <c r="C884" s="1">
        <v>40871</v>
      </c>
      <c r="D884" t="s">
        <v>45</v>
      </c>
      <c r="E884" t="s">
        <v>1536</v>
      </c>
      <c r="F884" t="s">
        <v>54</v>
      </c>
      <c r="G884" t="s">
        <v>1141</v>
      </c>
      <c r="H884" t="s">
        <v>205</v>
      </c>
      <c r="I884" t="s">
        <v>49</v>
      </c>
      <c r="J884" t="s">
        <v>57</v>
      </c>
      <c r="K884" t="s">
        <v>3501</v>
      </c>
      <c r="L884" t="s">
        <v>146</v>
      </c>
      <c r="M884" t="s">
        <v>195</v>
      </c>
      <c r="N884" t="s">
        <v>3502</v>
      </c>
      <c r="O884" s="2">
        <v>98</v>
      </c>
      <c r="P884">
        <v>2</v>
      </c>
      <c r="Q884" s="3">
        <v>0</v>
      </c>
      <c r="R884" s="2">
        <v>38.04</v>
      </c>
      <c r="S884" s="2">
        <v>11.72</v>
      </c>
      <c r="T884" t="s">
        <v>99</v>
      </c>
      <c r="U884">
        <v>2011</v>
      </c>
    </row>
    <row r="885" spans="1:21" x14ac:dyDescent="0.3">
      <c r="A885" t="s">
        <v>3503</v>
      </c>
      <c r="B885" s="1">
        <v>41242</v>
      </c>
      <c r="C885" s="1">
        <v>41244</v>
      </c>
      <c r="D885" t="s">
        <v>45</v>
      </c>
      <c r="E885" t="s">
        <v>3504</v>
      </c>
      <c r="F885" t="s">
        <v>24</v>
      </c>
      <c r="G885" t="s">
        <v>3505</v>
      </c>
      <c r="H885" t="s">
        <v>218</v>
      </c>
      <c r="I885" t="s">
        <v>218</v>
      </c>
      <c r="J885" t="s">
        <v>218</v>
      </c>
      <c r="K885" t="s">
        <v>3506</v>
      </c>
      <c r="L885" t="s">
        <v>59</v>
      </c>
      <c r="M885" t="s">
        <v>60</v>
      </c>
      <c r="N885" t="s">
        <v>3405</v>
      </c>
      <c r="O885" s="2">
        <v>50</v>
      </c>
      <c r="P885">
        <v>2</v>
      </c>
      <c r="Q885" s="3">
        <v>0</v>
      </c>
      <c r="R885" s="2">
        <v>15.48</v>
      </c>
      <c r="S885" s="2">
        <v>8.33</v>
      </c>
      <c r="T885" t="s">
        <v>99</v>
      </c>
      <c r="U885">
        <v>2012</v>
      </c>
    </row>
    <row r="886" spans="1:21" x14ac:dyDescent="0.3">
      <c r="A886" t="s">
        <v>3507</v>
      </c>
      <c r="B886" s="1">
        <v>41801</v>
      </c>
      <c r="C886" s="1">
        <v>41806</v>
      </c>
      <c r="D886" t="s">
        <v>22</v>
      </c>
      <c r="E886" t="s">
        <v>573</v>
      </c>
      <c r="F886" t="s">
        <v>54</v>
      </c>
      <c r="G886" t="s">
        <v>671</v>
      </c>
      <c r="H886" t="s">
        <v>135</v>
      </c>
      <c r="I886" t="s">
        <v>136</v>
      </c>
      <c r="J886" t="s">
        <v>57</v>
      </c>
      <c r="K886" t="s">
        <v>3508</v>
      </c>
      <c r="L886" t="s">
        <v>146</v>
      </c>
      <c r="M886" t="s">
        <v>271</v>
      </c>
      <c r="N886" t="s">
        <v>3509</v>
      </c>
      <c r="O886" s="2">
        <v>133</v>
      </c>
      <c r="P886">
        <v>4</v>
      </c>
      <c r="Q886" s="3">
        <v>0</v>
      </c>
      <c r="R886" s="2">
        <v>54.333199999999998</v>
      </c>
      <c r="S886" s="2">
        <v>15.89</v>
      </c>
      <c r="T886" t="s">
        <v>99</v>
      </c>
      <c r="U886">
        <v>2014</v>
      </c>
    </row>
    <row r="887" spans="1:21" x14ac:dyDescent="0.3">
      <c r="A887" t="s">
        <v>3510</v>
      </c>
      <c r="B887" s="1">
        <v>40875</v>
      </c>
      <c r="C887" s="1">
        <v>40880</v>
      </c>
      <c r="D887" t="s">
        <v>22</v>
      </c>
      <c r="E887" t="s">
        <v>2453</v>
      </c>
      <c r="F887" t="s">
        <v>54</v>
      </c>
      <c r="G887" t="s">
        <v>3511</v>
      </c>
      <c r="H887" t="s">
        <v>723</v>
      </c>
      <c r="I887" t="s">
        <v>27</v>
      </c>
      <c r="J887" t="s">
        <v>28</v>
      </c>
      <c r="K887" t="s">
        <v>3512</v>
      </c>
      <c r="L887" t="s">
        <v>30</v>
      </c>
      <c r="M887" t="s">
        <v>370</v>
      </c>
      <c r="N887" t="s">
        <v>3513</v>
      </c>
      <c r="O887" s="2">
        <v>20</v>
      </c>
      <c r="P887">
        <v>1</v>
      </c>
      <c r="Q887" s="3">
        <v>0.45</v>
      </c>
      <c r="R887" s="2">
        <v>-8.5530000000000008</v>
      </c>
      <c r="S887" s="2">
        <v>1.34</v>
      </c>
      <c r="T887" t="s">
        <v>33</v>
      </c>
      <c r="U887">
        <v>2011</v>
      </c>
    </row>
    <row r="888" spans="1:21" x14ac:dyDescent="0.3">
      <c r="A888" t="s">
        <v>3514</v>
      </c>
      <c r="B888" s="1">
        <v>41971</v>
      </c>
      <c r="C888" s="1">
        <v>41976</v>
      </c>
      <c r="D888" t="s">
        <v>22</v>
      </c>
      <c r="E888" t="s">
        <v>1213</v>
      </c>
      <c r="F888" t="s">
        <v>54</v>
      </c>
      <c r="G888" t="s">
        <v>134</v>
      </c>
      <c r="H888" t="s">
        <v>135</v>
      </c>
      <c r="I888" t="s">
        <v>136</v>
      </c>
      <c r="J888" t="s">
        <v>137</v>
      </c>
      <c r="K888" t="s">
        <v>3515</v>
      </c>
      <c r="L888" t="s">
        <v>30</v>
      </c>
      <c r="M888" t="s">
        <v>31</v>
      </c>
      <c r="N888" t="s">
        <v>3516</v>
      </c>
      <c r="O888" s="2">
        <v>117</v>
      </c>
      <c r="P888">
        <v>7</v>
      </c>
      <c r="Q888" s="3">
        <v>0.2</v>
      </c>
      <c r="R888" s="2">
        <v>41.120800000000003</v>
      </c>
      <c r="S888" s="2">
        <v>12.87</v>
      </c>
      <c r="T888" t="s">
        <v>99</v>
      </c>
      <c r="U888">
        <v>2014</v>
      </c>
    </row>
    <row r="889" spans="1:21" x14ac:dyDescent="0.3">
      <c r="A889" t="s">
        <v>3517</v>
      </c>
      <c r="B889" s="1">
        <v>41956</v>
      </c>
      <c r="C889" s="1">
        <v>41963</v>
      </c>
      <c r="D889" t="s">
        <v>22</v>
      </c>
      <c r="E889" t="s">
        <v>2720</v>
      </c>
      <c r="F889" t="s">
        <v>54</v>
      </c>
      <c r="G889" t="s">
        <v>3518</v>
      </c>
      <c r="H889" t="s">
        <v>1573</v>
      </c>
      <c r="I889" t="s">
        <v>27</v>
      </c>
      <c r="J889" t="s">
        <v>28</v>
      </c>
      <c r="K889" t="s">
        <v>3519</v>
      </c>
      <c r="L889" t="s">
        <v>146</v>
      </c>
      <c r="M889" t="s">
        <v>147</v>
      </c>
      <c r="N889" t="s">
        <v>3520</v>
      </c>
      <c r="O889" s="2">
        <v>341</v>
      </c>
      <c r="P889">
        <v>5</v>
      </c>
      <c r="Q889" s="3">
        <v>0</v>
      </c>
      <c r="R889" s="2">
        <v>160.05000000000001</v>
      </c>
      <c r="S889" s="2">
        <v>0.3</v>
      </c>
      <c r="T889" t="s">
        <v>33</v>
      </c>
      <c r="U889">
        <v>2014</v>
      </c>
    </row>
    <row r="890" spans="1:21" x14ac:dyDescent="0.3">
      <c r="A890" t="s">
        <v>3521</v>
      </c>
      <c r="B890" s="1">
        <v>41604</v>
      </c>
      <c r="C890" s="1">
        <v>41611</v>
      </c>
      <c r="D890" t="s">
        <v>22</v>
      </c>
      <c r="E890" t="s">
        <v>3522</v>
      </c>
      <c r="F890" t="s">
        <v>36</v>
      </c>
      <c r="G890" t="s">
        <v>3523</v>
      </c>
      <c r="H890" t="s">
        <v>152</v>
      </c>
      <c r="I890" t="s">
        <v>27</v>
      </c>
      <c r="J890" t="s">
        <v>153</v>
      </c>
      <c r="K890" t="s">
        <v>3524</v>
      </c>
      <c r="L890" t="s">
        <v>146</v>
      </c>
      <c r="M890" t="s">
        <v>147</v>
      </c>
      <c r="N890" t="s">
        <v>3525</v>
      </c>
      <c r="O890" s="2">
        <v>442</v>
      </c>
      <c r="P890">
        <v>5</v>
      </c>
      <c r="Q890" s="3">
        <v>0</v>
      </c>
      <c r="R890" s="2">
        <v>185.7</v>
      </c>
      <c r="S890" s="2">
        <v>34.29</v>
      </c>
      <c r="T890" t="s">
        <v>33</v>
      </c>
      <c r="U890">
        <v>2013</v>
      </c>
    </row>
    <row r="891" spans="1:21" x14ac:dyDescent="0.3">
      <c r="A891" t="s">
        <v>3526</v>
      </c>
      <c r="B891" s="1">
        <v>41709</v>
      </c>
      <c r="C891" s="1">
        <v>41714</v>
      </c>
      <c r="D891" t="s">
        <v>22</v>
      </c>
      <c r="E891" t="s">
        <v>342</v>
      </c>
      <c r="F891" t="s">
        <v>36</v>
      </c>
      <c r="G891" t="s">
        <v>1349</v>
      </c>
      <c r="H891" t="s">
        <v>1147</v>
      </c>
      <c r="I891" t="s">
        <v>39</v>
      </c>
      <c r="J891" t="s">
        <v>129</v>
      </c>
      <c r="K891" t="s">
        <v>3527</v>
      </c>
      <c r="L891" t="s">
        <v>30</v>
      </c>
      <c r="M891" t="s">
        <v>105</v>
      </c>
      <c r="N891" t="s">
        <v>3528</v>
      </c>
      <c r="O891" s="2">
        <v>109</v>
      </c>
      <c r="P891">
        <v>5</v>
      </c>
      <c r="Q891" s="3">
        <v>0</v>
      </c>
      <c r="R891" s="2">
        <v>23.9</v>
      </c>
      <c r="S891" s="2">
        <v>12.35</v>
      </c>
      <c r="T891" t="s">
        <v>33</v>
      </c>
      <c r="U891">
        <v>2014</v>
      </c>
    </row>
    <row r="892" spans="1:21" x14ac:dyDescent="0.3">
      <c r="A892" t="s">
        <v>3529</v>
      </c>
      <c r="B892" s="1">
        <v>41528</v>
      </c>
      <c r="C892" s="1">
        <v>41534</v>
      </c>
      <c r="D892" t="s">
        <v>22</v>
      </c>
      <c r="E892" t="s">
        <v>3530</v>
      </c>
      <c r="F892" t="s">
        <v>54</v>
      </c>
      <c r="G892" t="s">
        <v>3531</v>
      </c>
      <c r="H892" t="s">
        <v>242</v>
      </c>
      <c r="I892" t="s">
        <v>27</v>
      </c>
      <c r="J892" t="s">
        <v>153</v>
      </c>
      <c r="K892" t="s">
        <v>3532</v>
      </c>
      <c r="L892" t="s">
        <v>30</v>
      </c>
      <c r="M892" t="s">
        <v>410</v>
      </c>
      <c r="N892" t="s">
        <v>3533</v>
      </c>
      <c r="O892" s="2">
        <v>36</v>
      </c>
      <c r="P892">
        <v>6</v>
      </c>
      <c r="Q892" s="3">
        <v>0</v>
      </c>
      <c r="R892" s="2">
        <v>7.56</v>
      </c>
      <c r="S892" s="2">
        <v>2.35</v>
      </c>
      <c r="T892" t="s">
        <v>33</v>
      </c>
      <c r="U892">
        <v>2013</v>
      </c>
    </row>
    <row r="893" spans="1:21" x14ac:dyDescent="0.3">
      <c r="A893" t="s">
        <v>3534</v>
      </c>
      <c r="B893" s="1">
        <v>40674</v>
      </c>
      <c r="C893" s="1">
        <v>40678</v>
      </c>
      <c r="D893" t="s">
        <v>22</v>
      </c>
      <c r="E893" t="s">
        <v>1896</v>
      </c>
      <c r="F893" t="s">
        <v>36</v>
      </c>
      <c r="G893" t="s">
        <v>158</v>
      </c>
      <c r="H893" t="s">
        <v>135</v>
      </c>
      <c r="I893" t="s">
        <v>136</v>
      </c>
      <c r="J893" t="s">
        <v>57</v>
      </c>
      <c r="K893" t="s">
        <v>3535</v>
      </c>
      <c r="L893" t="s">
        <v>30</v>
      </c>
      <c r="M893" t="s">
        <v>31</v>
      </c>
      <c r="N893" t="s">
        <v>3536</v>
      </c>
      <c r="O893" s="2">
        <v>105</v>
      </c>
      <c r="P893">
        <v>9</v>
      </c>
      <c r="Q893" s="3">
        <v>0.8</v>
      </c>
      <c r="R893" s="2">
        <v>-172.55699999999999</v>
      </c>
      <c r="S893" s="2">
        <v>12.61</v>
      </c>
      <c r="T893" t="s">
        <v>99</v>
      </c>
      <c r="U893">
        <v>2011</v>
      </c>
    </row>
    <row r="894" spans="1:21" x14ac:dyDescent="0.3">
      <c r="A894" t="s">
        <v>3537</v>
      </c>
      <c r="B894" s="1">
        <v>41592</v>
      </c>
      <c r="C894" s="1">
        <v>41596</v>
      </c>
      <c r="D894" t="s">
        <v>22</v>
      </c>
      <c r="E894" t="s">
        <v>1140</v>
      </c>
      <c r="F894" t="s">
        <v>24</v>
      </c>
      <c r="G894" t="s">
        <v>2765</v>
      </c>
      <c r="H894" t="s">
        <v>637</v>
      </c>
      <c r="I894" t="s">
        <v>88</v>
      </c>
      <c r="J894" t="s">
        <v>88</v>
      </c>
      <c r="K894" t="s">
        <v>3538</v>
      </c>
      <c r="L894" t="s">
        <v>59</v>
      </c>
      <c r="M894" t="s">
        <v>60</v>
      </c>
      <c r="N894" t="s">
        <v>3539</v>
      </c>
      <c r="O894" s="2">
        <v>52</v>
      </c>
      <c r="P894">
        <v>1</v>
      </c>
      <c r="Q894" s="3">
        <v>0</v>
      </c>
      <c r="R894" s="2">
        <v>24.75</v>
      </c>
      <c r="S894" s="2">
        <v>2.42</v>
      </c>
      <c r="T894" t="s">
        <v>33</v>
      </c>
      <c r="U894">
        <v>2013</v>
      </c>
    </row>
    <row r="895" spans="1:21" x14ac:dyDescent="0.3">
      <c r="A895" t="s">
        <v>3540</v>
      </c>
      <c r="B895" s="1">
        <v>41600</v>
      </c>
      <c r="C895" s="1">
        <v>41607</v>
      </c>
      <c r="D895" t="s">
        <v>22</v>
      </c>
      <c r="E895" t="s">
        <v>588</v>
      </c>
      <c r="F895" t="s">
        <v>24</v>
      </c>
      <c r="G895" t="s">
        <v>3541</v>
      </c>
      <c r="H895" t="s">
        <v>205</v>
      </c>
      <c r="I895" t="s">
        <v>49</v>
      </c>
      <c r="J895" t="s">
        <v>57</v>
      </c>
      <c r="K895" t="s">
        <v>3542</v>
      </c>
      <c r="L895" t="s">
        <v>146</v>
      </c>
      <c r="M895" t="s">
        <v>195</v>
      </c>
      <c r="N895" t="s">
        <v>3543</v>
      </c>
      <c r="O895" s="2">
        <v>1509</v>
      </c>
      <c r="P895">
        <v>5</v>
      </c>
      <c r="Q895" s="3">
        <v>0</v>
      </c>
      <c r="R895" s="2">
        <v>45.15</v>
      </c>
      <c r="S895" s="2">
        <v>71.73</v>
      </c>
      <c r="T895" t="s">
        <v>77</v>
      </c>
      <c r="U895">
        <v>2013</v>
      </c>
    </row>
    <row r="896" spans="1:21" x14ac:dyDescent="0.3">
      <c r="A896" t="s">
        <v>3544</v>
      </c>
      <c r="B896" s="1">
        <v>41961</v>
      </c>
      <c r="C896" s="1">
        <v>41963</v>
      </c>
      <c r="D896" t="s">
        <v>45</v>
      </c>
      <c r="E896" t="s">
        <v>3545</v>
      </c>
      <c r="F896" t="s">
        <v>24</v>
      </c>
      <c r="G896" t="s">
        <v>3546</v>
      </c>
      <c r="H896" t="s">
        <v>2471</v>
      </c>
      <c r="I896" t="s">
        <v>49</v>
      </c>
      <c r="J896" t="s">
        <v>129</v>
      </c>
      <c r="K896" t="s">
        <v>3547</v>
      </c>
      <c r="L896" t="s">
        <v>146</v>
      </c>
      <c r="M896" t="s">
        <v>347</v>
      </c>
      <c r="N896" t="s">
        <v>447</v>
      </c>
      <c r="O896" s="2">
        <v>663</v>
      </c>
      <c r="P896">
        <v>5</v>
      </c>
      <c r="Q896" s="3">
        <v>0.5</v>
      </c>
      <c r="R896" s="2">
        <v>-212.17500000000001</v>
      </c>
      <c r="S896" s="2">
        <v>134.80000000000001</v>
      </c>
      <c r="T896" t="s">
        <v>99</v>
      </c>
      <c r="U896">
        <v>2014</v>
      </c>
    </row>
    <row r="897" spans="1:21" x14ac:dyDescent="0.3">
      <c r="A897" t="s">
        <v>3548</v>
      </c>
      <c r="B897" s="1">
        <v>40864</v>
      </c>
      <c r="C897" s="1">
        <v>40869</v>
      </c>
      <c r="D897" t="s">
        <v>45</v>
      </c>
      <c r="E897" t="s">
        <v>913</v>
      </c>
      <c r="F897" t="s">
        <v>36</v>
      </c>
      <c r="G897" t="s">
        <v>395</v>
      </c>
      <c r="H897" t="s">
        <v>135</v>
      </c>
      <c r="I897" t="s">
        <v>136</v>
      </c>
      <c r="J897" t="s">
        <v>396</v>
      </c>
      <c r="K897" t="s">
        <v>3549</v>
      </c>
      <c r="L897" t="s">
        <v>30</v>
      </c>
      <c r="M897" t="s">
        <v>105</v>
      </c>
      <c r="N897" t="s">
        <v>3550</v>
      </c>
      <c r="O897" s="2">
        <v>34</v>
      </c>
      <c r="P897">
        <v>3</v>
      </c>
      <c r="Q897" s="3">
        <v>0</v>
      </c>
      <c r="R897" s="2">
        <v>17.22</v>
      </c>
      <c r="S897" s="2">
        <v>3.12</v>
      </c>
      <c r="T897" t="s">
        <v>99</v>
      </c>
      <c r="U897">
        <v>2011</v>
      </c>
    </row>
    <row r="898" spans="1:21" x14ac:dyDescent="0.3">
      <c r="A898" t="s">
        <v>3551</v>
      </c>
      <c r="B898" s="1">
        <v>41962</v>
      </c>
      <c r="C898" s="1">
        <v>41966</v>
      </c>
      <c r="D898" t="s">
        <v>22</v>
      </c>
      <c r="E898" t="s">
        <v>3552</v>
      </c>
      <c r="F898" t="s">
        <v>54</v>
      </c>
      <c r="G898" t="s">
        <v>2665</v>
      </c>
      <c r="H898" t="s">
        <v>56</v>
      </c>
      <c r="I898" t="s">
        <v>49</v>
      </c>
      <c r="J898" t="s">
        <v>57</v>
      </c>
      <c r="K898" t="s">
        <v>3553</v>
      </c>
      <c r="L898" t="s">
        <v>59</v>
      </c>
      <c r="M898" t="s">
        <v>139</v>
      </c>
      <c r="N898" t="s">
        <v>2522</v>
      </c>
      <c r="O898" s="2">
        <v>5729</v>
      </c>
      <c r="P898">
        <v>14</v>
      </c>
      <c r="Q898" s="3">
        <v>0.1</v>
      </c>
      <c r="R898" s="2">
        <v>63.545999999999999</v>
      </c>
      <c r="S898" s="2">
        <v>572.95000000000005</v>
      </c>
      <c r="T898" t="s">
        <v>99</v>
      </c>
      <c r="U898">
        <v>2014</v>
      </c>
    </row>
    <row r="899" spans="1:21" x14ac:dyDescent="0.3">
      <c r="A899" t="s">
        <v>3554</v>
      </c>
      <c r="B899" s="1">
        <v>41193</v>
      </c>
      <c r="C899" s="1">
        <v>41196</v>
      </c>
      <c r="D899" t="s">
        <v>84</v>
      </c>
      <c r="E899" t="s">
        <v>1043</v>
      </c>
      <c r="F899" t="s">
        <v>24</v>
      </c>
      <c r="G899" t="s">
        <v>2825</v>
      </c>
      <c r="H899" t="s">
        <v>1147</v>
      </c>
      <c r="I899" t="s">
        <v>39</v>
      </c>
      <c r="J899" t="s">
        <v>129</v>
      </c>
      <c r="K899" t="s">
        <v>3555</v>
      </c>
      <c r="L899" t="s">
        <v>59</v>
      </c>
      <c r="M899" t="s">
        <v>139</v>
      </c>
      <c r="N899" t="s">
        <v>3556</v>
      </c>
      <c r="O899" s="2">
        <v>320</v>
      </c>
      <c r="P899">
        <v>7</v>
      </c>
      <c r="Q899" s="3">
        <v>0.2</v>
      </c>
      <c r="R899" s="2">
        <v>55.944000000000003</v>
      </c>
      <c r="S899" s="2">
        <v>39.130000000000003</v>
      </c>
      <c r="T899" t="s">
        <v>33</v>
      </c>
      <c r="U899">
        <v>2012</v>
      </c>
    </row>
    <row r="900" spans="1:21" x14ac:dyDescent="0.3">
      <c r="A900" t="s">
        <v>3557</v>
      </c>
      <c r="B900" s="1">
        <v>41608</v>
      </c>
      <c r="C900" s="1">
        <v>41615</v>
      </c>
      <c r="D900" t="s">
        <v>22</v>
      </c>
      <c r="E900" t="s">
        <v>85</v>
      </c>
      <c r="F900" t="s">
        <v>54</v>
      </c>
      <c r="G900" t="s">
        <v>64</v>
      </c>
      <c r="H900" t="s">
        <v>56</v>
      </c>
      <c r="I900" t="s">
        <v>49</v>
      </c>
      <c r="J900" t="s">
        <v>57</v>
      </c>
      <c r="K900" t="s">
        <v>225</v>
      </c>
      <c r="L900" t="s">
        <v>30</v>
      </c>
      <c r="M900" t="s">
        <v>90</v>
      </c>
      <c r="N900" t="s">
        <v>226</v>
      </c>
      <c r="O900" s="2">
        <v>311</v>
      </c>
      <c r="P900">
        <v>6</v>
      </c>
      <c r="Q900" s="3">
        <v>0</v>
      </c>
      <c r="R900" s="2">
        <v>46.62</v>
      </c>
      <c r="S900" s="2">
        <v>10.34</v>
      </c>
      <c r="T900" t="s">
        <v>33</v>
      </c>
      <c r="U900">
        <v>2013</v>
      </c>
    </row>
    <row r="901" spans="1:21" x14ac:dyDescent="0.3">
      <c r="A901" t="s">
        <v>3558</v>
      </c>
      <c r="B901" s="1">
        <v>40858</v>
      </c>
      <c r="C901" s="1">
        <v>40861</v>
      </c>
      <c r="D901" t="s">
        <v>84</v>
      </c>
      <c r="E901" t="s">
        <v>1269</v>
      </c>
      <c r="F901" t="s">
        <v>54</v>
      </c>
      <c r="G901" t="s">
        <v>1176</v>
      </c>
      <c r="H901" t="s">
        <v>1177</v>
      </c>
      <c r="I901" t="s">
        <v>27</v>
      </c>
      <c r="J901" t="s">
        <v>28</v>
      </c>
      <c r="K901" t="s">
        <v>3559</v>
      </c>
      <c r="L901" t="s">
        <v>59</v>
      </c>
      <c r="M901" t="s">
        <v>139</v>
      </c>
      <c r="N901" t="s">
        <v>3560</v>
      </c>
      <c r="O901" s="2">
        <v>781</v>
      </c>
      <c r="P901">
        <v>8</v>
      </c>
      <c r="Q901" s="3">
        <v>0.27</v>
      </c>
      <c r="R901" s="2">
        <v>181.65119999999999</v>
      </c>
      <c r="S901" s="2">
        <v>184.98</v>
      </c>
      <c r="T901" t="s">
        <v>68</v>
      </c>
      <c r="U901">
        <v>2011</v>
      </c>
    </row>
    <row r="902" spans="1:21" x14ac:dyDescent="0.3">
      <c r="A902" t="s">
        <v>3561</v>
      </c>
      <c r="B902" s="1">
        <v>41961</v>
      </c>
      <c r="C902" s="1">
        <v>41961</v>
      </c>
      <c r="D902" t="s">
        <v>232</v>
      </c>
      <c r="E902" t="s">
        <v>2602</v>
      </c>
      <c r="F902" t="s">
        <v>24</v>
      </c>
      <c r="G902" t="s">
        <v>1411</v>
      </c>
      <c r="H902" t="s">
        <v>38</v>
      </c>
      <c r="I902" t="s">
        <v>39</v>
      </c>
      <c r="J902" t="s">
        <v>40</v>
      </c>
      <c r="K902" t="s">
        <v>3562</v>
      </c>
      <c r="L902" t="s">
        <v>59</v>
      </c>
      <c r="M902" t="s">
        <v>329</v>
      </c>
      <c r="N902" t="s">
        <v>3563</v>
      </c>
      <c r="O902" s="2">
        <v>359</v>
      </c>
      <c r="P902">
        <v>2</v>
      </c>
      <c r="Q902" s="3">
        <v>0.2</v>
      </c>
      <c r="R902" s="2">
        <v>49.32</v>
      </c>
      <c r="S902" s="2">
        <v>44.62</v>
      </c>
      <c r="T902" t="s">
        <v>99</v>
      </c>
      <c r="U902">
        <v>2014</v>
      </c>
    </row>
    <row r="903" spans="1:21" x14ac:dyDescent="0.3">
      <c r="A903" t="s">
        <v>3564</v>
      </c>
      <c r="B903" s="1">
        <v>41968</v>
      </c>
      <c r="C903" s="1">
        <v>41975</v>
      </c>
      <c r="D903" t="s">
        <v>22</v>
      </c>
      <c r="E903" t="s">
        <v>568</v>
      </c>
      <c r="F903" t="s">
        <v>24</v>
      </c>
      <c r="G903" t="s">
        <v>688</v>
      </c>
      <c r="H903" t="s">
        <v>135</v>
      </c>
      <c r="I903" t="s">
        <v>136</v>
      </c>
      <c r="J903" t="s">
        <v>40</v>
      </c>
      <c r="K903" t="s">
        <v>3565</v>
      </c>
      <c r="L903" t="s">
        <v>30</v>
      </c>
      <c r="M903" t="s">
        <v>410</v>
      </c>
      <c r="N903" t="s">
        <v>3566</v>
      </c>
      <c r="O903" s="2">
        <v>65</v>
      </c>
      <c r="P903">
        <v>7</v>
      </c>
      <c r="Q903" s="3">
        <v>0.2</v>
      </c>
      <c r="R903" s="2">
        <v>24.318000000000001</v>
      </c>
      <c r="S903" s="2">
        <v>6.41</v>
      </c>
      <c r="T903" t="s">
        <v>77</v>
      </c>
      <c r="U903">
        <v>2014</v>
      </c>
    </row>
    <row r="904" spans="1:21" x14ac:dyDescent="0.3">
      <c r="A904" t="s">
        <v>3567</v>
      </c>
      <c r="B904" s="1">
        <v>41239</v>
      </c>
      <c r="C904" s="1">
        <v>41241</v>
      </c>
      <c r="D904" t="s">
        <v>45</v>
      </c>
      <c r="E904" t="s">
        <v>1710</v>
      </c>
      <c r="F904" t="s">
        <v>54</v>
      </c>
      <c r="G904" t="s">
        <v>3568</v>
      </c>
      <c r="H904" t="s">
        <v>602</v>
      </c>
      <c r="I904" t="s">
        <v>39</v>
      </c>
      <c r="J904" t="s">
        <v>57</v>
      </c>
      <c r="K904" t="s">
        <v>3569</v>
      </c>
      <c r="L904" t="s">
        <v>59</v>
      </c>
      <c r="M904" t="s">
        <v>60</v>
      </c>
      <c r="N904" t="s">
        <v>3570</v>
      </c>
      <c r="O904" s="2">
        <v>101</v>
      </c>
      <c r="P904">
        <v>3</v>
      </c>
      <c r="Q904" s="3">
        <v>0</v>
      </c>
      <c r="R904" s="2">
        <v>28.2</v>
      </c>
      <c r="S904" s="2">
        <v>6.82</v>
      </c>
      <c r="T904" t="s">
        <v>33</v>
      </c>
      <c r="U904">
        <v>2012</v>
      </c>
    </row>
    <row r="905" spans="1:21" x14ac:dyDescent="0.3">
      <c r="A905" t="s">
        <v>3571</v>
      </c>
      <c r="B905" s="1">
        <v>41971</v>
      </c>
      <c r="C905" s="1">
        <v>41975</v>
      </c>
      <c r="D905" t="s">
        <v>22</v>
      </c>
      <c r="E905" t="s">
        <v>3572</v>
      </c>
      <c r="F905" t="s">
        <v>36</v>
      </c>
      <c r="G905" t="s">
        <v>2179</v>
      </c>
      <c r="H905" t="s">
        <v>435</v>
      </c>
      <c r="I905" t="s">
        <v>117</v>
      </c>
      <c r="J905" t="s">
        <v>117</v>
      </c>
      <c r="K905" t="s">
        <v>3573</v>
      </c>
      <c r="L905" t="s">
        <v>30</v>
      </c>
      <c r="M905" t="s">
        <v>66</v>
      </c>
      <c r="N905" t="s">
        <v>3574</v>
      </c>
      <c r="O905" s="2">
        <v>376</v>
      </c>
      <c r="P905">
        <v>6</v>
      </c>
      <c r="Q905" s="3">
        <v>0</v>
      </c>
      <c r="R905" s="2">
        <v>112.68</v>
      </c>
      <c r="S905" s="2">
        <v>21.44</v>
      </c>
      <c r="T905" t="s">
        <v>33</v>
      </c>
      <c r="U905">
        <v>2014</v>
      </c>
    </row>
    <row r="906" spans="1:21" x14ac:dyDescent="0.3">
      <c r="A906" t="s">
        <v>3575</v>
      </c>
      <c r="B906" s="1">
        <v>41597</v>
      </c>
      <c r="C906" s="1">
        <v>41601</v>
      </c>
      <c r="D906" t="s">
        <v>22</v>
      </c>
      <c r="E906" t="s">
        <v>3576</v>
      </c>
      <c r="F906" t="s">
        <v>36</v>
      </c>
      <c r="G906" t="s">
        <v>569</v>
      </c>
      <c r="H906" t="s">
        <v>135</v>
      </c>
      <c r="I906" t="s">
        <v>136</v>
      </c>
      <c r="J906" t="s">
        <v>57</v>
      </c>
      <c r="K906" t="s">
        <v>3577</v>
      </c>
      <c r="L906" t="s">
        <v>30</v>
      </c>
      <c r="M906" t="s">
        <v>75</v>
      </c>
      <c r="N906" t="s">
        <v>3578</v>
      </c>
      <c r="O906" s="2">
        <v>49</v>
      </c>
      <c r="P906">
        <v>2</v>
      </c>
      <c r="Q906" s="3">
        <v>0.2</v>
      </c>
      <c r="R906" s="2">
        <v>15.8756</v>
      </c>
      <c r="S906" s="2">
        <v>7.69</v>
      </c>
      <c r="T906" t="s">
        <v>99</v>
      </c>
      <c r="U906">
        <v>2013</v>
      </c>
    </row>
    <row r="907" spans="1:21" x14ac:dyDescent="0.3">
      <c r="A907" t="s">
        <v>3579</v>
      </c>
      <c r="B907" s="1">
        <v>41193</v>
      </c>
      <c r="C907" s="1">
        <v>41196</v>
      </c>
      <c r="D907" t="s">
        <v>84</v>
      </c>
      <c r="E907" t="s">
        <v>666</v>
      </c>
      <c r="F907" t="s">
        <v>54</v>
      </c>
      <c r="G907" t="s">
        <v>2146</v>
      </c>
      <c r="H907" t="s">
        <v>152</v>
      </c>
      <c r="I907" t="s">
        <v>27</v>
      </c>
      <c r="J907" t="s">
        <v>153</v>
      </c>
      <c r="K907" t="s">
        <v>3580</v>
      </c>
      <c r="L907" t="s">
        <v>59</v>
      </c>
      <c r="M907" t="s">
        <v>139</v>
      </c>
      <c r="N907" t="s">
        <v>3581</v>
      </c>
      <c r="O907" s="2">
        <v>658</v>
      </c>
      <c r="P907">
        <v>4</v>
      </c>
      <c r="Q907" s="3">
        <v>0</v>
      </c>
      <c r="R907" s="2">
        <v>164.4</v>
      </c>
      <c r="S907" s="2">
        <v>72.67</v>
      </c>
      <c r="T907" t="s">
        <v>99</v>
      </c>
      <c r="U907">
        <v>2012</v>
      </c>
    </row>
    <row r="908" spans="1:21" x14ac:dyDescent="0.3">
      <c r="A908" t="s">
        <v>3582</v>
      </c>
      <c r="B908" s="1">
        <v>41040</v>
      </c>
      <c r="C908" s="1">
        <v>41044</v>
      </c>
      <c r="D908" t="s">
        <v>22</v>
      </c>
      <c r="E908" t="s">
        <v>1523</v>
      </c>
      <c r="F908" t="s">
        <v>24</v>
      </c>
      <c r="G908" t="s">
        <v>3583</v>
      </c>
      <c r="H908" t="s">
        <v>72</v>
      </c>
      <c r="I908" t="s">
        <v>27</v>
      </c>
      <c r="J908" t="s">
        <v>73</v>
      </c>
      <c r="K908" t="s">
        <v>3584</v>
      </c>
      <c r="L908" t="s">
        <v>30</v>
      </c>
      <c r="M908" t="s">
        <v>105</v>
      </c>
      <c r="N908" t="s">
        <v>3585</v>
      </c>
      <c r="O908" s="2">
        <v>106</v>
      </c>
      <c r="P908">
        <v>5</v>
      </c>
      <c r="Q908" s="3">
        <v>0</v>
      </c>
      <c r="R908" s="2">
        <v>52.8</v>
      </c>
      <c r="S908" s="2">
        <v>3.37</v>
      </c>
      <c r="T908" t="s">
        <v>33</v>
      </c>
      <c r="U908">
        <v>2012</v>
      </c>
    </row>
    <row r="909" spans="1:21" x14ac:dyDescent="0.3">
      <c r="A909" t="s">
        <v>3586</v>
      </c>
      <c r="B909" s="1">
        <v>41599</v>
      </c>
      <c r="C909" s="1">
        <v>41603</v>
      </c>
      <c r="D909" t="s">
        <v>45</v>
      </c>
      <c r="E909" t="s">
        <v>2379</v>
      </c>
      <c r="F909" t="s">
        <v>36</v>
      </c>
      <c r="G909" t="s">
        <v>1049</v>
      </c>
      <c r="H909" t="s">
        <v>135</v>
      </c>
      <c r="I909" t="s">
        <v>136</v>
      </c>
      <c r="J909" t="s">
        <v>396</v>
      </c>
      <c r="K909" t="s">
        <v>3587</v>
      </c>
      <c r="L909" t="s">
        <v>59</v>
      </c>
      <c r="M909" t="s">
        <v>339</v>
      </c>
      <c r="N909" t="s">
        <v>3588</v>
      </c>
      <c r="O909" s="2">
        <v>87</v>
      </c>
      <c r="P909">
        <v>3</v>
      </c>
      <c r="Q909" s="3">
        <v>0.5</v>
      </c>
      <c r="R909" s="2">
        <v>-48.703200000000002</v>
      </c>
      <c r="S909" s="2">
        <v>8.64</v>
      </c>
      <c r="T909" t="s">
        <v>33</v>
      </c>
      <c r="U909">
        <v>2013</v>
      </c>
    </row>
    <row r="910" spans="1:21" x14ac:dyDescent="0.3">
      <c r="A910" t="s">
        <v>3589</v>
      </c>
      <c r="B910" s="1">
        <v>41228</v>
      </c>
      <c r="C910" s="1">
        <v>41228</v>
      </c>
      <c r="D910" t="s">
        <v>232</v>
      </c>
      <c r="E910" t="s">
        <v>1135</v>
      </c>
      <c r="F910" t="s">
        <v>36</v>
      </c>
      <c r="G910" t="s">
        <v>321</v>
      </c>
      <c r="H910" t="s">
        <v>322</v>
      </c>
      <c r="I910" t="s">
        <v>88</v>
      </c>
      <c r="J910" t="s">
        <v>88</v>
      </c>
      <c r="K910" t="s">
        <v>3590</v>
      </c>
      <c r="L910" t="s">
        <v>59</v>
      </c>
      <c r="M910" t="s">
        <v>139</v>
      </c>
      <c r="N910" t="s">
        <v>3591</v>
      </c>
      <c r="O910" s="2">
        <v>48</v>
      </c>
      <c r="P910">
        <v>1</v>
      </c>
      <c r="Q910" s="3">
        <v>0</v>
      </c>
      <c r="R910" s="2">
        <v>12.09</v>
      </c>
      <c r="S910" s="2">
        <v>3.9</v>
      </c>
      <c r="T910" t="s">
        <v>99</v>
      </c>
      <c r="U910">
        <v>2012</v>
      </c>
    </row>
    <row r="911" spans="1:21" x14ac:dyDescent="0.3">
      <c r="A911" t="s">
        <v>3592</v>
      </c>
      <c r="B911" s="1">
        <v>41681</v>
      </c>
      <c r="C911" s="1">
        <v>41685</v>
      </c>
      <c r="D911" t="s">
        <v>22</v>
      </c>
      <c r="E911" t="s">
        <v>3593</v>
      </c>
      <c r="F911" t="s">
        <v>24</v>
      </c>
      <c r="G911" t="s">
        <v>3594</v>
      </c>
      <c r="H911" t="s">
        <v>224</v>
      </c>
      <c r="I911" t="s">
        <v>49</v>
      </c>
      <c r="J911" t="s">
        <v>40</v>
      </c>
      <c r="K911" t="s">
        <v>3595</v>
      </c>
      <c r="L911" t="s">
        <v>30</v>
      </c>
      <c r="M911" t="s">
        <v>42</v>
      </c>
      <c r="N911" t="s">
        <v>3596</v>
      </c>
      <c r="O911" s="2">
        <v>2478</v>
      </c>
      <c r="P911">
        <v>5</v>
      </c>
      <c r="Q911" s="3">
        <v>0</v>
      </c>
      <c r="R911" s="2">
        <v>1040.55</v>
      </c>
      <c r="S911" s="2">
        <v>273.88</v>
      </c>
      <c r="T911" t="s">
        <v>99</v>
      </c>
      <c r="U911">
        <v>2014</v>
      </c>
    </row>
    <row r="912" spans="1:21" x14ac:dyDescent="0.3">
      <c r="A912" t="s">
        <v>3597</v>
      </c>
      <c r="B912" s="1">
        <v>41605</v>
      </c>
      <c r="C912" s="1">
        <v>41611</v>
      </c>
      <c r="D912" t="s">
        <v>22</v>
      </c>
      <c r="E912" t="s">
        <v>3598</v>
      </c>
      <c r="F912" t="s">
        <v>54</v>
      </c>
      <c r="G912" t="s">
        <v>569</v>
      </c>
      <c r="H912" t="s">
        <v>135</v>
      </c>
      <c r="I912" t="s">
        <v>136</v>
      </c>
      <c r="J912" t="s">
        <v>57</v>
      </c>
      <c r="K912" t="s">
        <v>3599</v>
      </c>
      <c r="L912" t="s">
        <v>30</v>
      </c>
      <c r="M912" t="s">
        <v>90</v>
      </c>
      <c r="N912" t="s">
        <v>3600</v>
      </c>
      <c r="O912" s="2">
        <v>18</v>
      </c>
      <c r="P912">
        <v>4</v>
      </c>
      <c r="Q912" s="3">
        <v>0.2</v>
      </c>
      <c r="R912" s="2">
        <v>4.2408000000000001</v>
      </c>
      <c r="S912" s="2">
        <v>1.19</v>
      </c>
      <c r="T912" t="s">
        <v>33</v>
      </c>
      <c r="U912">
        <v>2013</v>
      </c>
    </row>
    <row r="913" spans="1:21" x14ac:dyDescent="0.3">
      <c r="A913" t="s">
        <v>3601</v>
      </c>
      <c r="B913" s="1">
        <v>41230</v>
      </c>
      <c r="C913" s="1">
        <v>41235</v>
      </c>
      <c r="D913" t="s">
        <v>22</v>
      </c>
      <c r="E913" t="s">
        <v>2576</v>
      </c>
      <c r="F913" t="s">
        <v>54</v>
      </c>
      <c r="G913" t="s">
        <v>1173</v>
      </c>
      <c r="H913" t="s">
        <v>269</v>
      </c>
      <c r="I913" t="s">
        <v>88</v>
      </c>
      <c r="J913" t="s">
        <v>88</v>
      </c>
      <c r="K913" t="s">
        <v>1285</v>
      </c>
      <c r="L913" t="s">
        <v>30</v>
      </c>
      <c r="M913" t="s">
        <v>75</v>
      </c>
      <c r="N913" t="s">
        <v>1286</v>
      </c>
      <c r="O913" s="2">
        <v>70</v>
      </c>
      <c r="P913">
        <v>8</v>
      </c>
      <c r="Q913" s="3">
        <v>0</v>
      </c>
      <c r="R913" s="2">
        <v>21.6</v>
      </c>
      <c r="S913" s="2">
        <v>3.42</v>
      </c>
      <c r="T913" t="s">
        <v>33</v>
      </c>
      <c r="U913">
        <v>2012</v>
      </c>
    </row>
    <row r="914" spans="1:21" x14ac:dyDescent="0.3">
      <c r="A914" t="s">
        <v>2060</v>
      </c>
      <c r="B914" s="1">
        <v>41958</v>
      </c>
      <c r="C914" s="1">
        <v>41963</v>
      </c>
      <c r="D914" t="s">
        <v>22</v>
      </c>
      <c r="E914" t="s">
        <v>3602</v>
      </c>
      <c r="F914" t="s">
        <v>54</v>
      </c>
      <c r="G914" t="s">
        <v>2286</v>
      </c>
      <c r="H914" t="s">
        <v>564</v>
      </c>
      <c r="I914" t="s">
        <v>49</v>
      </c>
      <c r="J914" t="s">
        <v>57</v>
      </c>
      <c r="K914" t="s">
        <v>3603</v>
      </c>
      <c r="L914" t="s">
        <v>30</v>
      </c>
      <c r="M914" t="s">
        <v>31</v>
      </c>
      <c r="N914" t="s">
        <v>651</v>
      </c>
      <c r="O914" s="2">
        <v>79</v>
      </c>
      <c r="P914">
        <v>3</v>
      </c>
      <c r="Q914" s="3">
        <v>0.5</v>
      </c>
      <c r="R914" s="2">
        <v>-6.39</v>
      </c>
      <c r="S914" s="2">
        <v>3.97</v>
      </c>
      <c r="T914" t="s">
        <v>33</v>
      </c>
      <c r="U914">
        <v>2014</v>
      </c>
    </row>
    <row r="915" spans="1:21" x14ac:dyDescent="0.3">
      <c r="A915" t="s">
        <v>3604</v>
      </c>
      <c r="B915" s="1">
        <v>41593</v>
      </c>
      <c r="C915" s="1">
        <v>41599</v>
      </c>
      <c r="D915" t="s">
        <v>22</v>
      </c>
      <c r="E915" t="s">
        <v>246</v>
      </c>
      <c r="F915" t="s">
        <v>24</v>
      </c>
      <c r="G915" t="s">
        <v>2327</v>
      </c>
      <c r="H915" t="s">
        <v>103</v>
      </c>
      <c r="I915" t="s">
        <v>39</v>
      </c>
      <c r="J915" t="s">
        <v>57</v>
      </c>
      <c r="K915" t="s">
        <v>3605</v>
      </c>
      <c r="L915" t="s">
        <v>30</v>
      </c>
      <c r="M915" t="s">
        <v>90</v>
      </c>
      <c r="N915" t="s">
        <v>3606</v>
      </c>
      <c r="O915" s="2">
        <v>86</v>
      </c>
      <c r="P915">
        <v>4</v>
      </c>
      <c r="Q915" s="3">
        <v>0.4</v>
      </c>
      <c r="R915" s="2">
        <v>-47.567999999999998</v>
      </c>
      <c r="S915" s="2">
        <v>4.09</v>
      </c>
      <c r="T915" t="s">
        <v>33</v>
      </c>
      <c r="U915">
        <v>2013</v>
      </c>
    </row>
    <row r="916" spans="1:21" x14ac:dyDescent="0.3">
      <c r="A916" t="s">
        <v>3607</v>
      </c>
      <c r="B916" s="1">
        <v>41254</v>
      </c>
      <c r="C916" s="1">
        <v>41257</v>
      </c>
      <c r="D916" t="s">
        <v>84</v>
      </c>
      <c r="E916" t="s">
        <v>639</v>
      </c>
      <c r="F916" t="s">
        <v>54</v>
      </c>
      <c r="G916" t="s">
        <v>671</v>
      </c>
      <c r="H916" t="s">
        <v>135</v>
      </c>
      <c r="I916" t="s">
        <v>136</v>
      </c>
      <c r="J916" t="s">
        <v>57</v>
      </c>
      <c r="K916" t="s">
        <v>3608</v>
      </c>
      <c r="L916" t="s">
        <v>30</v>
      </c>
      <c r="M916" t="s">
        <v>31</v>
      </c>
      <c r="N916" t="s">
        <v>3609</v>
      </c>
      <c r="O916" s="2">
        <v>23</v>
      </c>
      <c r="P916">
        <v>2</v>
      </c>
      <c r="Q916" s="3">
        <v>0</v>
      </c>
      <c r="R916" s="2">
        <v>10.35</v>
      </c>
      <c r="S916" s="2">
        <v>6.31</v>
      </c>
      <c r="T916" t="s">
        <v>68</v>
      </c>
      <c r="U916">
        <v>2012</v>
      </c>
    </row>
    <row r="917" spans="1:21" x14ac:dyDescent="0.3">
      <c r="A917" t="s">
        <v>3610</v>
      </c>
      <c r="B917" s="1">
        <v>41971</v>
      </c>
      <c r="C917" s="1">
        <v>41976</v>
      </c>
      <c r="D917" t="s">
        <v>22</v>
      </c>
      <c r="E917" t="s">
        <v>3611</v>
      </c>
      <c r="F917" t="s">
        <v>54</v>
      </c>
      <c r="G917" t="s">
        <v>1435</v>
      </c>
      <c r="H917" t="s">
        <v>564</v>
      </c>
      <c r="I917" t="s">
        <v>49</v>
      </c>
      <c r="J917" t="s">
        <v>57</v>
      </c>
      <c r="K917" t="s">
        <v>3612</v>
      </c>
      <c r="L917" t="s">
        <v>30</v>
      </c>
      <c r="M917" t="s">
        <v>66</v>
      </c>
      <c r="N917" t="s">
        <v>3613</v>
      </c>
      <c r="O917" s="2">
        <v>102</v>
      </c>
      <c r="P917">
        <v>1</v>
      </c>
      <c r="Q917" s="3">
        <v>0.5</v>
      </c>
      <c r="R917" s="2">
        <v>-89.85</v>
      </c>
      <c r="S917" s="2">
        <v>14.56</v>
      </c>
      <c r="T917" t="s">
        <v>99</v>
      </c>
      <c r="U917">
        <v>2014</v>
      </c>
    </row>
    <row r="918" spans="1:21" x14ac:dyDescent="0.3">
      <c r="A918" t="s">
        <v>3614</v>
      </c>
      <c r="B918" s="1">
        <v>41984</v>
      </c>
      <c r="C918" s="1">
        <v>41988</v>
      </c>
      <c r="D918" t="s">
        <v>22</v>
      </c>
      <c r="E918" t="s">
        <v>2727</v>
      </c>
      <c r="F918" t="s">
        <v>24</v>
      </c>
      <c r="G918" t="s">
        <v>3615</v>
      </c>
      <c r="H918" t="s">
        <v>3616</v>
      </c>
      <c r="I918" t="s">
        <v>27</v>
      </c>
      <c r="J918" t="s">
        <v>73</v>
      </c>
      <c r="K918" t="s">
        <v>3617</v>
      </c>
      <c r="L918" t="s">
        <v>146</v>
      </c>
      <c r="M918" t="s">
        <v>147</v>
      </c>
      <c r="N918" t="s">
        <v>3092</v>
      </c>
      <c r="O918" s="2">
        <v>501</v>
      </c>
      <c r="P918">
        <v>3</v>
      </c>
      <c r="Q918" s="3">
        <v>0</v>
      </c>
      <c r="R918" s="2">
        <v>115.2</v>
      </c>
      <c r="S918" s="2">
        <v>79.59</v>
      </c>
      <c r="T918" t="s">
        <v>99</v>
      </c>
      <c r="U918">
        <v>2014</v>
      </c>
    </row>
    <row r="919" spans="1:21" x14ac:dyDescent="0.3">
      <c r="A919" t="s">
        <v>3618</v>
      </c>
      <c r="B919" s="1">
        <v>41625</v>
      </c>
      <c r="C919" s="1">
        <v>41630</v>
      </c>
      <c r="D919" t="s">
        <v>45</v>
      </c>
      <c r="E919" t="s">
        <v>1529</v>
      </c>
      <c r="F919" t="s">
        <v>54</v>
      </c>
      <c r="G919" t="s">
        <v>722</v>
      </c>
      <c r="H919" t="s">
        <v>723</v>
      </c>
      <c r="I919" t="s">
        <v>27</v>
      </c>
      <c r="J919" t="s">
        <v>28</v>
      </c>
      <c r="K919" t="s">
        <v>3619</v>
      </c>
      <c r="L919" t="s">
        <v>30</v>
      </c>
      <c r="M919" t="s">
        <v>75</v>
      </c>
      <c r="N919" t="s">
        <v>1561</v>
      </c>
      <c r="O919" s="2">
        <v>12</v>
      </c>
      <c r="P919">
        <v>2</v>
      </c>
      <c r="Q919" s="3">
        <v>0.45</v>
      </c>
      <c r="R919" s="2">
        <v>-5.226</v>
      </c>
      <c r="S919" s="2">
        <v>0.84</v>
      </c>
      <c r="T919" t="s">
        <v>33</v>
      </c>
      <c r="U919">
        <v>2013</v>
      </c>
    </row>
    <row r="920" spans="1:21" x14ac:dyDescent="0.3">
      <c r="A920" t="s">
        <v>3620</v>
      </c>
      <c r="B920" s="1">
        <v>41256</v>
      </c>
      <c r="C920" s="1">
        <v>41262</v>
      </c>
      <c r="D920" t="s">
        <v>22</v>
      </c>
      <c r="E920" t="s">
        <v>3621</v>
      </c>
      <c r="F920" t="s">
        <v>54</v>
      </c>
      <c r="G920" t="s">
        <v>37</v>
      </c>
      <c r="H920" t="s">
        <v>38</v>
      </c>
      <c r="I920" t="s">
        <v>39</v>
      </c>
      <c r="J920" t="s">
        <v>40</v>
      </c>
      <c r="K920" t="s">
        <v>3450</v>
      </c>
      <c r="L920" t="s">
        <v>59</v>
      </c>
      <c r="M920" t="s">
        <v>139</v>
      </c>
      <c r="N920" t="s">
        <v>3451</v>
      </c>
      <c r="O920" s="2">
        <v>464</v>
      </c>
      <c r="P920">
        <v>4</v>
      </c>
      <c r="Q920" s="3">
        <v>0</v>
      </c>
      <c r="R920" s="2">
        <v>129.84</v>
      </c>
      <c r="S920" s="2">
        <v>77.61</v>
      </c>
      <c r="T920" t="s">
        <v>77</v>
      </c>
      <c r="U920">
        <v>2012</v>
      </c>
    </row>
    <row r="921" spans="1:21" x14ac:dyDescent="0.3">
      <c r="A921" t="s">
        <v>3622</v>
      </c>
      <c r="B921" s="1">
        <v>41257</v>
      </c>
      <c r="C921" s="1">
        <v>41259</v>
      </c>
      <c r="D921" t="s">
        <v>45</v>
      </c>
      <c r="E921" t="s">
        <v>1402</v>
      </c>
      <c r="F921" t="s">
        <v>54</v>
      </c>
      <c r="G921" t="s">
        <v>3623</v>
      </c>
      <c r="H921" t="s">
        <v>38</v>
      </c>
      <c r="I921" t="s">
        <v>39</v>
      </c>
      <c r="J921" t="s">
        <v>40</v>
      </c>
      <c r="K921" t="s">
        <v>3624</v>
      </c>
      <c r="L921" t="s">
        <v>30</v>
      </c>
      <c r="M921" t="s">
        <v>90</v>
      </c>
      <c r="N921" t="s">
        <v>112</v>
      </c>
      <c r="O921" s="2">
        <v>75</v>
      </c>
      <c r="P921">
        <v>6</v>
      </c>
      <c r="Q921" s="3">
        <v>0</v>
      </c>
      <c r="R921" s="2">
        <v>10.56</v>
      </c>
      <c r="S921" s="2">
        <v>5.77</v>
      </c>
      <c r="T921" t="s">
        <v>99</v>
      </c>
      <c r="U921">
        <v>2012</v>
      </c>
    </row>
    <row r="922" spans="1:21" x14ac:dyDescent="0.3">
      <c r="A922" t="s">
        <v>3625</v>
      </c>
      <c r="B922" s="1">
        <v>40828</v>
      </c>
      <c r="C922" s="1">
        <v>40832</v>
      </c>
      <c r="D922" t="s">
        <v>22</v>
      </c>
      <c r="E922" t="s">
        <v>1791</v>
      </c>
      <c r="F922" t="s">
        <v>54</v>
      </c>
      <c r="G922" t="s">
        <v>134</v>
      </c>
      <c r="H922" t="s">
        <v>135</v>
      </c>
      <c r="I922" t="s">
        <v>136</v>
      </c>
      <c r="J922" t="s">
        <v>137</v>
      </c>
      <c r="K922" t="s">
        <v>3626</v>
      </c>
      <c r="L922" t="s">
        <v>30</v>
      </c>
      <c r="M922" t="s">
        <v>90</v>
      </c>
      <c r="N922" t="s">
        <v>3627</v>
      </c>
      <c r="O922" s="2">
        <v>15</v>
      </c>
      <c r="P922">
        <v>5</v>
      </c>
      <c r="Q922" s="3">
        <v>0</v>
      </c>
      <c r="R922" s="2">
        <v>4.1719999999999997</v>
      </c>
      <c r="S922" s="2">
        <v>0.45</v>
      </c>
      <c r="T922" t="s">
        <v>33</v>
      </c>
      <c r="U922">
        <v>2011</v>
      </c>
    </row>
    <row r="923" spans="1:21" x14ac:dyDescent="0.3">
      <c r="A923" t="s">
        <v>3628</v>
      </c>
      <c r="B923" s="1">
        <v>41621</v>
      </c>
      <c r="C923" s="1">
        <v>41625</v>
      </c>
      <c r="D923" t="s">
        <v>22</v>
      </c>
      <c r="E923" t="s">
        <v>2700</v>
      </c>
      <c r="F923" t="s">
        <v>54</v>
      </c>
      <c r="G923" t="s">
        <v>134</v>
      </c>
      <c r="H923" t="s">
        <v>135</v>
      </c>
      <c r="I923" t="s">
        <v>136</v>
      </c>
      <c r="J923" t="s">
        <v>137</v>
      </c>
      <c r="K923" t="s">
        <v>3629</v>
      </c>
      <c r="L923" t="s">
        <v>30</v>
      </c>
      <c r="M923" t="s">
        <v>42</v>
      </c>
      <c r="N923" t="s">
        <v>3630</v>
      </c>
      <c r="O923" s="2">
        <v>57</v>
      </c>
      <c r="P923">
        <v>3</v>
      </c>
      <c r="Q923" s="3">
        <v>0</v>
      </c>
      <c r="R923" s="2">
        <v>15.8256</v>
      </c>
      <c r="S923" s="2">
        <v>6.77</v>
      </c>
      <c r="T923" t="s">
        <v>99</v>
      </c>
      <c r="U923">
        <v>2013</v>
      </c>
    </row>
    <row r="924" spans="1:21" x14ac:dyDescent="0.3">
      <c r="A924" t="s">
        <v>3631</v>
      </c>
      <c r="B924" s="1">
        <v>41989</v>
      </c>
      <c r="C924" s="1">
        <v>41993</v>
      </c>
      <c r="D924" t="s">
        <v>22</v>
      </c>
      <c r="E924" t="s">
        <v>3019</v>
      </c>
      <c r="F924" t="s">
        <v>24</v>
      </c>
      <c r="G924" t="s">
        <v>25</v>
      </c>
      <c r="H924" t="s">
        <v>26</v>
      </c>
      <c r="I924" t="s">
        <v>27</v>
      </c>
      <c r="J924" t="s">
        <v>28</v>
      </c>
      <c r="K924" t="s">
        <v>3632</v>
      </c>
      <c r="L924" t="s">
        <v>30</v>
      </c>
      <c r="M924" t="s">
        <v>90</v>
      </c>
      <c r="N924" t="s">
        <v>3633</v>
      </c>
      <c r="O924" s="2">
        <v>36</v>
      </c>
      <c r="P924">
        <v>2</v>
      </c>
      <c r="Q924" s="3">
        <v>0.27</v>
      </c>
      <c r="R924" s="2">
        <v>-10.2744</v>
      </c>
      <c r="S924" s="2">
        <v>0.64</v>
      </c>
      <c r="T924" t="s">
        <v>33</v>
      </c>
      <c r="U924">
        <v>2014</v>
      </c>
    </row>
    <row r="925" spans="1:21" x14ac:dyDescent="0.3">
      <c r="A925" t="s">
        <v>3634</v>
      </c>
      <c r="B925" s="1">
        <v>41987</v>
      </c>
      <c r="C925" s="1">
        <v>41992</v>
      </c>
      <c r="D925" t="s">
        <v>45</v>
      </c>
      <c r="E925" t="s">
        <v>3440</v>
      </c>
      <c r="F925" t="s">
        <v>54</v>
      </c>
      <c r="G925" t="s">
        <v>315</v>
      </c>
      <c r="H925" t="s">
        <v>316</v>
      </c>
      <c r="I925" t="s">
        <v>27</v>
      </c>
      <c r="J925" t="s">
        <v>212</v>
      </c>
      <c r="K925" t="s">
        <v>3635</v>
      </c>
      <c r="L925" t="s">
        <v>30</v>
      </c>
      <c r="M925" t="s">
        <v>90</v>
      </c>
      <c r="N925" t="s">
        <v>3636</v>
      </c>
      <c r="O925" s="2">
        <v>107</v>
      </c>
      <c r="P925">
        <v>4</v>
      </c>
      <c r="Q925" s="3">
        <v>0.1</v>
      </c>
      <c r="R925" s="2">
        <v>30.756</v>
      </c>
      <c r="S925" s="2">
        <v>5.95</v>
      </c>
      <c r="T925" t="s">
        <v>33</v>
      </c>
      <c r="U925">
        <v>2014</v>
      </c>
    </row>
    <row r="926" spans="1:21" x14ac:dyDescent="0.3">
      <c r="A926" t="s">
        <v>3637</v>
      </c>
      <c r="B926" s="1">
        <v>41272</v>
      </c>
      <c r="C926" s="1">
        <v>41277</v>
      </c>
      <c r="D926" t="s">
        <v>22</v>
      </c>
      <c r="E926" t="s">
        <v>1508</v>
      </c>
      <c r="F926" t="s">
        <v>24</v>
      </c>
      <c r="G926" t="s">
        <v>775</v>
      </c>
      <c r="H926" t="s">
        <v>26</v>
      </c>
      <c r="I926" t="s">
        <v>27</v>
      </c>
      <c r="J926" t="s">
        <v>28</v>
      </c>
      <c r="K926" t="s">
        <v>3638</v>
      </c>
      <c r="L926" t="s">
        <v>30</v>
      </c>
      <c r="M926" t="s">
        <v>105</v>
      </c>
      <c r="N926" t="s">
        <v>3639</v>
      </c>
      <c r="O926" s="2">
        <v>21</v>
      </c>
      <c r="P926">
        <v>2</v>
      </c>
      <c r="Q926" s="3">
        <v>0.47</v>
      </c>
      <c r="R926" s="2">
        <v>-16.243200000000002</v>
      </c>
      <c r="S926" s="2">
        <v>0.98</v>
      </c>
      <c r="T926" t="s">
        <v>33</v>
      </c>
      <c r="U926">
        <v>2012</v>
      </c>
    </row>
    <row r="927" spans="1:21" x14ac:dyDescent="0.3">
      <c r="A927" t="s">
        <v>3640</v>
      </c>
      <c r="B927" s="1">
        <v>41269</v>
      </c>
      <c r="C927" s="1">
        <v>41273</v>
      </c>
      <c r="D927" t="s">
        <v>22</v>
      </c>
      <c r="E927" t="s">
        <v>3364</v>
      </c>
      <c r="F927" t="s">
        <v>36</v>
      </c>
      <c r="G927" t="s">
        <v>2910</v>
      </c>
      <c r="H927" t="s">
        <v>402</v>
      </c>
      <c r="I927" t="s">
        <v>39</v>
      </c>
      <c r="J927" t="s">
        <v>236</v>
      </c>
      <c r="K927" t="s">
        <v>3641</v>
      </c>
      <c r="L927" t="s">
        <v>30</v>
      </c>
      <c r="M927" t="s">
        <v>90</v>
      </c>
      <c r="N927" t="s">
        <v>3642</v>
      </c>
      <c r="O927" s="2">
        <v>15</v>
      </c>
      <c r="P927">
        <v>1</v>
      </c>
      <c r="Q927" s="3">
        <v>0</v>
      </c>
      <c r="R927" s="2">
        <v>3.96</v>
      </c>
      <c r="S927" s="2">
        <v>0.96</v>
      </c>
      <c r="T927" t="s">
        <v>33</v>
      </c>
      <c r="U927">
        <v>2012</v>
      </c>
    </row>
    <row r="928" spans="1:21" x14ac:dyDescent="0.3">
      <c r="A928" t="s">
        <v>3643</v>
      </c>
      <c r="B928" s="1">
        <v>41498</v>
      </c>
      <c r="C928" s="1">
        <v>41502</v>
      </c>
      <c r="D928" t="s">
        <v>45</v>
      </c>
      <c r="E928" t="s">
        <v>3644</v>
      </c>
      <c r="F928" t="s">
        <v>24</v>
      </c>
      <c r="G928" t="s">
        <v>414</v>
      </c>
      <c r="H928" t="s">
        <v>414</v>
      </c>
      <c r="I928" t="s">
        <v>39</v>
      </c>
      <c r="J928" t="s">
        <v>57</v>
      </c>
      <c r="K928" t="s">
        <v>3645</v>
      </c>
      <c r="L928" t="s">
        <v>30</v>
      </c>
      <c r="M928" t="s">
        <v>90</v>
      </c>
      <c r="N928" t="s">
        <v>3646</v>
      </c>
      <c r="O928" s="2">
        <v>20</v>
      </c>
      <c r="P928">
        <v>3</v>
      </c>
      <c r="Q928" s="3">
        <v>0.4</v>
      </c>
      <c r="R928" s="2">
        <v>-4.4279999999999999</v>
      </c>
      <c r="S928" s="2">
        <v>2.5499999999999998</v>
      </c>
      <c r="T928" t="s">
        <v>33</v>
      </c>
      <c r="U928">
        <v>2013</v>
      </c>
    </row>
    <row r="929" spans="1:21" x14ac:dyDescent="0.3">
      <c r="A929" t="s">
        <v>3647</v>
      </c>
      <c r="B929" s="1">
        <v>41635</v>
      </c>
      <c r="C929" s="1">
        <v>41640</v>
      </c>
      <c r="D929" t="s">
        <v>22</v>
      </c>
      <c r="E929" t="s">
        <v>767</v>
      </c>
      <c r="F929" t="s">
        <v>54</v>
      </c>
      <c r="G929" t="s">
        <v>1044</v>
      </c>
      <c r="H929" t="s">
        <v>844</v>
      </c>
      <c r="I929" t="s">
        <v>39</v>
      </c>
      <c r="J929" t="s">
        <v>57</v>
      </c>
      <c r="K929" t="s">
        <v>3648</v>
      </c>
      <c r="L929" t="s">
        <v>30</v>
      </c>
      <c r="M929" t="s">
        <v>97</v>
      </c>
      <c r="N929" t="s">
        <v>1751</v>
      </c>
      <c r="O929" s="2">
        <v>37</v>
      </c>
      <c r="P929">
        <v>7</v>
      </c>
      <c r="Q929" s="3">
        <v>0</v>
      </c>
      <c r="R929" s="2">
        <v>16.8</v>
      </c>
      <c r="S929" s="2">
        <v>1.55</v>
      </c>
      <c r="T929" t="s">
        <v>33</v>
      </c>
      <c r="U929">
        <v>2013</v>
      </c>
    </row>
    <row r="930" spans="1:21" x14ac:dyDescent="0.3">
      <c r="A930" t="s">
        <v>3649</v>
      </c>
      <c r="B930" s="1">
        <v>41632</v>
      </c>
      <c r="C930" s="1">
        <v>41637</v>
      </c>
      <c r="D930" t="s">
        <v>22</v>
      </c>
      <c r="E930" t="s">
        <v>3650</v>
      </c>
      <c r="F930" t="s">
        <v>54</v>
      </c>
      <c r="G930" t="s">
        <v>440</v>
      </c>
      <c r="H930" t="s">
        <v>56</v>
      </c>
      <c r="I930" t="s">
        <v>49</v>
      </c>
      <c r="J930" t="s">
        <v>57</v>
      </c>
      <c r="K930" t="s">
        <v>1988</v>
      </c>
      <c r="L930" t="s">
        <v>146</v>
      </c>
      <c r="M930" t="s">
        <v>147</v>
      </c>
      <c r="N930" t="s">
        <v>1989</v>
      </c>
      <c r="O930" s="2">
        <v>62</v>
      </c>
      <c r="P930">
        <v>1</v>
      </c>
      <c r="Q930" s="3">
        <v>0.15</v>
      </c>
      <c r="R930" s="2">
        <v>19.7865</v>
      </c>
      <c r="S930" s="2">
        <v>5.54</v>
      </c>
      <c r="T930" t="s">
        <v>33</v>
      </c>
      <c r="U930">
        <v>2013</v>
      </c>
    </row>
    <row r="931" spans="1:21" x14ac:dyDescent="0.3">
      <c r="A931" t="s">
        <v>3651</v>
      </c>
      <c r="B931" s="1">
        <v>41529</v>
      </c>
      <c r="C931" s="1">
        <v>41531</v>
      </c>
      <c r="D931" t="s">
        <v>84</v>
      </c>
      <c r="E931" t="s">
        <v>3281</v>
      </c>
      <c r="F931" t="s">
        <v>24</v>
      </c>
      <c r="G931" t="s">
        <v>1141</v>
      </c>
      <c r="H931" t="s">
        <v>205</v>
      </c>
      <c r="I931" t="s">
        <v>49</v>
      </c>
      <c r="J931" t="s">
        <v>57</v>
      </c>
      <c r="K931" t="s">
        <v>3652</v>
      </c>
      <c r="L931" t="s">
        <v>30</v>
      </c>
      <c r="M931" t="s">
        <v>31</v>
      </c>
      <c r="N931" t="s">
        <v>3653</v>
      </c>
      <c r="O931" s="2">
        <v>70</v>
      </c>
      <c r="P931">
        <v>5</v>
      </c>
      <c r="Q931" s="3">
        <v>0</v>
      </c>
      <c r="R931" s="2">
        <v>25.8</v>
      </c>
      <c r="S931" s="2">
        <v>10.1</v>
      </c>
      <c r="T931" t="s">
        <v>33</v>
      </c>
      <c r="U931">
        <v>2013</v>
      </c>
    </row>
    <row r="932" spans="1:21" x14ac:dyDescent="0.3">
      <c r="A932" t="s">
        <v>3654</v>
      </c>
      <c r="B932" s="1">
        <v>40907</v>
      </c>
      <c r="C932" s="1">
        <v>40909</v>
      </c>
      <c r="D932" t="s">
        <v>84</v>
      </c>
      <c r="E932" t="s">
        <v>906</v>
      </c>
      <c r="F932" t="s">
        <v>54</v>
      </c>
      <c r="G932" t="s">
        <v>688</v>
      </c>
      <c r="H932" t="s">
        <v>135</v>
      </c>
      <c r="I932" t="s">
        <v>136</v>
      </c>
      <c r="J932" t="s">
        <v>40</v>
      </c>
      <c r="K932" t="s">
        <v>3655</v>
      </c>
      <c r="L932" t="s">
        <v>30</v>
      </c>
      <c r="M932" t="s">
        <v>66</v>
      </c>
      <c r="N932" t="s">
        <v>3656</v>
      </c>
      <c r="O932" s="2">
        <v>39</v>
      </c>
      <c r="P932">
        <v>1</v>
      </c>
      <c r="Q932" s="3">
        <v>0.2</v>
      </c>
      <c r="R932" s="2">
        <v>-8.8038000000000007</v>
      </c>
      <c r="S932" s="2">
        <v>3.77</v>
      </c>
      <c r="T932" t="s">
        <v>33</v>
      </c>
      <c r="U932">
        <v>2011</v>
      </c>
    </row>
    <row r="933" spans="1:21" x14ac:dyDescent="0.3">
      <c r="A933" t="s">
        <v>3657</v>
      </c>
      <c r="B933" s="1">
        <v>41992</v>
      </c>
      <c r="C933" s="1">
        <v>41997</v>
      </c>
      <c r="D933" t="s">
        <v>22</v>
      </c>
      <c r="E933" t="s">
        <v>3658</v>
      </c>
      <c r="F933" t="s">
        <v>54</v>
      </c>
      <c r="G933" t="s">
        <v>1049</v>
      </c>
      <c r="H933" t="s">
        <v>135</v>
      </c>
      <c r="I933" t="s">
        <v>136</v>
      </c>
      <c r="J933" t="s">
        <v>396</v>
      </c>
      <c r="K933" t="s">
        <v>3659</v>
      </c>
      <c r="L933" t="s">
        <v>30</v>
      </c>
      <c r="M933" t="s">
        <v>97</v>
      </c>
      <c r="N933" t="s">
        <v>3660</v>
      </c>
      <c r="O933" s="2">
        <v>5</v>
      </c>
      <c r="P933">
        <v>3</v>
      </c>
      <c r="Q933" s="3">
        <v>0.2</v>
      </c>
      <c r="R933" s="2">
        <v>1.7486999999999999</v>
      </c>
      <c r="S933" s="2">
        <v>0.53</v>
      </c>
      <c r="T933" t="s">
        <v>33</v>
      </c>
      <c r="U933">
        <v>2014</v>
      </c>
    </row>
    <row r="934" spans="1:21" x14ac:dyDescent="0.3">
      <c r="A934" t="s">
        <v>3661</v>
      </c>
      <c r="B934" s="1">
        <v>41620</v>
      </c>
      <c r="C934" s="1">
        <v>41626</v>
      </c>
      <c r="D934" t="s">
        <v>22</v>
      </c>
      <c r="E934" t="s">
        <v>1378</v>
      </c>
      <c r="F934" t="s">
        <v>54</v>
      </c>
      <c r="G934" t="s">
        <v>2083</v>
      </c>
      <c r="H934" t="s">
        <v>894</v>
      </c>
      <c r="I934" t="s">
        <v>117</v>
      </c>
      <c r="J934" t="s">
        <v>117</v>
      </c>
      <c r="K934" t="s">
        <v>3662</v>
      </c>
      <c r="L934" t="s">
        <v>30</v>
      </c>
      <c r="M934" t="s">
        <v>66</v>
      </c>
      <c r="N934" t="s">
        <v>509</v>
      </c>
      <c r="O934" s="2">
        <v>54</v>
      </c>
      <c r="P934">
        <v>2</v>
      </c>
      <c r="Q934" s="3">
        <v>0</v>
      </c>
      <c r="R934" s="2">
        <v>12.36</v>
      </c>
      <c r="S934" s="2">
        <v>4.87</v>
      </c>
      <c r="T934" t="s">
        <v>77</v>
      </c>
      <c r="U934">
        <v>2013</v>
      </c>
    </row>
    <row r="935" spans="1:21" x14ac:dyDescent="0.3">
      <c r="A935" t="s">
        <v>3663</v>
      </c>
      <c r="B935" s="1">
        <v>41639</v>
      </c>
      <c r="C935" s="1">
        <v>41643</v>
      </c>
      <c r="D935" t="s">
        <v>22</v>
      </c>
      <c r="E935" t="s">
        <v>3664</v>
      </c>
      <c r="F935" t="s">
        <v>54</v>
      </c>
      <c r="G935" t="s">
        <v>3665</v>
      </c>
      <c r="H935" t="s">
        <v>72</v>
      </c>
      <c r="I935" t="s">
        <v>27</v>
      </c>
      <c r="J935" t="s">
        <v>73</v>
      </c>
      <c r="K935" t="s">
        <v>3666</v>
      </c>
      <c r="L935" t="s">
        <v>30</v>
      </c>
      <c r="M935" t="s">
        <v>105</v>
      </c>
      <c r="N935" t="s">
        <v>3667</v>
      </c>
      <c r="O935" s="2">
        <v>59</v>
      </c>
      <c r="P935">
        <v>2</v>
      </c>
      <c r="Q935" s="3">
        <v>0</v>
      </c>
      <c r="R935" s="2">
        <v>26.1</v>
      </c>
      <c r="S935" s="2">
        <v>5.17</v>
      </c>
      <c r="T935" t="s">
        <v>33</v>
      </c>
      <c r="U935">
        <v>2013</v>
      </c>
    </row>
    <row r="936" spans="1:21" x14ac:dyDescent="0.3">
      <c r="A936" t="s">
        <v>3668</v>
      </c>
      <c r="B936" s="1">
        <v>41072</v>
      </c>
      <c r="C936" s="1">
        <v>41074</v>
      </c>
      <c r="D936" t="s">
        <v>84</v>
      </c>
      <c r="E936" t="s">
        <v>3669</v>
      </c>
      <c r="F936" t="s">
        <v>54</v>
      </c>
      <c r="G936" t="s">
        <v>2203</v>
      </c>
      <c r="H936" t="s">
        <v>875</v>
      </c>
      <c r="I936" t="s">
        <v>117</v>
      </c>
      <c r="J936" t="s">
        <v>117</v>
      </c>
      <c r="K936" t="s">
        <v>3670</v>
      </c>
      <c r="L936" t="s">
        <v>146</v>
      </c>
      <c r="M936" t="s">
        <v>271</v>
      </c>
      <c r="N936" t="s">
        <v>753</v>
      </c>
      <c r="O936" s="2">
        <v>567</v>
      </c>
      <c r="P936">
        <v>14</v>
      </c>
      <c r="Q936" s="3">
        <v>0</v>
      </c>
      <c r="R936" s="2">
        <v>68.040000000000006</v>
      </c>
      <c r="S936" s="2">
        <v>91.13</v>
      </c>
      <c r="T936" t="s">
        <v>33</v>
      </c>
      <c r="U936">
        <v>2012</v>
      </c>
    </row>
    <row r="937" spans="1:21" x14ac:dyDescent="0.3">
      <c r="A937" t="s">
        <v>3671</v>
      </c>
      <c r="B937" s="1">
        <v>40889</v>
      </c>
      <c r="C937" s="1">
        <v>40894</v>
      </c>
      <c r="D937" t="s">
        <v>22</v>
      </c>
      <c r="E937" t="s">
        <v>3672</v>
      </c>
      <c r="F937" t="s">
        <v>54</v>
      </c>
      <c r="G937" t="s">
        <v>134</v>
      </c>
      <c r="H937" t="s">
        <v>135</v>
      </c>
      <c r="I937" t="s">
        <v>136</v>
      </c>
      <c r="J937" t="s">
        <v>137</v>
      </c>
      <c r="K937" t="s">
        <v>3673</v>
      </c>
      <c r="L937" t="s">
        <v>59</v>
      </c>
      <c r="M937" t="s">
        <v>60</v>
      </c>
      <c r="N937" t="s">
        <v>3674</v>
      </c>
      <c r="O937" s="2">
        <v>43</v>
      </c>
      <c r="P937">
        <v>1</v>
      </c>
      <c r="Q937" s="3">
        <v>0</v>
      </c>
      <c r="R937" s="2">
        <v>4.3310000000000004</v>
      </c>
      <c r="S937" s="2">
        <v>3.88</v>
      </c>
      <c r="T937" t="s">
        <v>33</v>
      </c>
      <c r="U937">
        <v>2011</v>
      </c>
    </row>
    <row r="938" spans="1:21" x14ac:dyDescent="0.3">
      <c r="A938" t="s">
        <v>3675</v>
      </c>
      <c r="B938" s="1">
        <v>42002</v>
      </c>
      <c r="C938" s="1">
        <v>42002</v>
      </c>
      <c r="D938" t="s">
        <v>232</v>
      </c>
      <c r="E938" t="s">
        <v>3676</v>
      </c>
      <c r="F938" t="s">
        <v>54</v>
      </c>
      <c r="G938" t="s">
        <v>64</v>
      </c>
      <c r="H938" t="s">
        <v>56</v>
      </c>
      <c r="I938" t="s">
        <v>49</v>
      </c>
      <c r="J938" t="s">
        <v>57</v>
      </c>
      <c r="K938" t="s">
        <v>3677</v>
      </c>
      <c r="L938" t="s">
        <v>30</v>
      </c>
      <c r="M938" t="s">
        <v>90</v>
      </c>
      <c r="N938" t="s">
        <v>3678</v>
      </c>
      <c r="O938" s="2">
        <v>114</v>
      </c>
      <c r="P938">
        <v>2</v>
      </c>
      <c r="Q938" s="3">
        <v>0</v>
      </c>
      <c r="R938" s="2">
        <v>1.08</v>
      </c>
      <c r="S938" s="2">
        <v>27.69</v>
      </c>
      <c r="T938" t="s">
        <v>33</v>
      </c>
      <c r="U938">
        <v>2014</v>
      </c>
    </row>
    <row r="939" spans="1:21" x14ac:dyDescent="0.3">
      <c r="A939" t="s">
        <v>3679</v>
      </c>
      <c r="B939" s="1">
        <v>40897</v>
      </c>
      <c r="C939" s="1">
        <v>40899</v>
      </c>
      <c r="D939" t="s">
        <v>84</v>
      </c>
      <c r="E939" t="s">
        <v>3413</v>
      </c>
      <c r="F939" t="s">
        <v>24</v>
      </c>
      <c r="G939" t="s">
        <v>1722</v>
      </c>
      <c r="H939" t="s">
        <v>235</v>
      </c>
      <c r="I939" t="s">
        <v>39</v>
      </c>
      <c r="J939" t="s">
        <v>236</v>
      </c>
      <c r="K939" t="s">
        <v>3680</v>
      </c>
      <c r="L939" t="s">
        <v>59</v>
      </c>
      <c r="M939" t="s">
        <v>60</v>
      </c>
      <c r="N939" t="s">
        <v>3681</v>
      </c>
      <c r="O939" s="2">
        <v>26</v>
      </c>
      <c r="P939">
        <v>3</v>
      </c>
      <c r="Q939" s="3">
        <v>0.5</v>
      </c>
      <c r="R939" s="2">
        <v>-0.03</v>
      </c>
      <c r="S939" s="2">
        <v>4.6399999999999997</v>
      </c>
      <c r="T939" t="s">
        <v>99</v>
      </c>
      <c r="U939">
        <v>2011</v>
      </c>
    </row>
    <row r="940" spans="1:21" x14ac:dyDescent="0.3">
      <c r="A940" t="s">
        <v>3682</v>
      </c>
      <c r="B940" s="1">
        <v>41257</v>
      </c>
      <c r="C940" s="1">
        <v>41262</v>
      </c>
      <c r="D940" t="s">
        <v>45</v>
      </c>
      <c r="E940" t="s">
        <v>959</v>
      </c>
      <c r="F940" t="s">
        <v>54</v>
      </c>
      <c r="G940" t="s">
        <v>134</v>
      </c>
      <c r="H940" t="s">
        <v>135</v>
      </c>
      <c r="I940" t="s">
        <v>136</v>
      </c>
      <c r="J940" t="s">
        <v>137</v>
      </c>
      <c r="K940" t="s">
        <v>3683</v>
      </c>
      <c r="L940" t="s">
        <v>146</v>
      </c>
      <c r="M940" t="s">
        <v>271</v>
      </c>
      <c r="N940" t="s">
        <v>3684</v>
      </c>
      <c r="O940" s="2">
        <v>50</v>
      </c>
      <c r="P940">
        <v>2</v>
      </c>
      <c r="Q940" s="3">
        <v>0</v>
      </c>
      <c r="R940" s="2">
        <v>10.5</v>
      </c>
      <c r="S940" s="2">
        <v>4.79</v>
      </c>
      <c r="T940" t="s">
        <v>33</v>
      </c>
      <c r="U940">
        <v>2012</v>
      </c>
    </row>
    <row r="941" spans="1:21" x14ac:dyDescent="0.3">
      <c r="A941" t="s">
        <v>3685</v>
      </c>
      <c r="B941" s="1">
        <v>42004</v>
      </c>
      <c r="C941" s="1">
        <v>42009</v>
      </c>
      <c r="D941" t="s">
        <v>45</v>
      </c>
      <c r="E941" t="s">
        <v>2071</v>
      </c>
      <c r="F941" t="s">
        <v>24</v>
      </c>
      <c r="G941" t="s">
        <v>1098</v>
      </c>
      <c r="H941" t="s">
        <v>72</v>
      </c>
      <c r="I941" t="s">
        <v>27</v>
      </c>
      <c r="J941" t="s">
        <v>73</v>
      </c>
      <c r="K941" t="s">
        <v>3686</v>
      </c>
      <c r="L941" t="s">
        <v>30</v>
      </c>
      <c r="M941" t="s">
        <v>370</v>
      </c>
      <c r="N941" t="s">
        <v>1543</v>
      </c>
      <c r="O941" s="2">
        <v>258</v>
      </c>
      <c r="P941">
        <v>9</v>
      </c>
      <c r="Q941" s="3">
        <v>0</v>
      </c>
      <c r="R941" s="2">
        <v>92.88</v>
      </c>
      <c r="S941" s="2">
        <v>46.11</v>
      </c>
      <c r="T941" t="s">
        <v>33</v>
      </c>
      <c r="U941">
        <v>2014</v>
      </c>
    </row>
    <row r="942" spans="1:21" x14ac:dyDescent="0.3">
      <c r="A942" t="s">
        <v>3687</v>
      </c>
      <c r="B942" s="1">
        <v>41863</v>
      </c>
      <c r="C942" s="1">
        <v>41865</v>
      </c>
      <c r="D942" t="s">
        <v>45</v>
      </c>
      <c r="E942" t="s">
        <v>3688</v>
      </c>
      <c r="F942" t="s">
        <v>36</v>
      </c>
      <c r="G942" t="s">
        <v>3689</v>
      </c>
      <c r="H942" t="s">
        <v>87</v>
      </c>
      <c r="I942" t="s">
        <v>88</v>
      </c>
      <c r="J942" t="s">
        <v>88</v>
      </c>
      <c r="K942" t="s">
        <v>3690</v>
      </c>
      <c r="L942" t="s">
        <v>30</v>
      </c>
      <c r="M942" t="s">
        <v>97</v>
      </c>
      <c r="N942" t="s">
        <v>3691</v>
      </c>
      <c r="O942" s="2">
        <v>15</v>
      </c>
      <c r="P942">
        <v>2</v>
      </c>
      <c r="Q942" s="3">
        <v>0.6</v>
      </c>
      <c r="R942" s="2">
        <v>-3.84</v>
      </c>
      <c r="S942" s="2">
        <v>2.06</v>
      </c>
      <c r="T942" t="s">
        <v>33</v>
      </c>
      <c r="U942">
        <v>2014</v>
      </c>
    </row>
    <row r="943" spans="1:21" x14ac:dyDescent="0.3">
      <c r="A943" t="s">
        <v>3692</v>
      </c>
      <c r="B943" s="1">
        <v>41345</v>
      </c>
      <c r="C943" s="1">
        <v>41350</v>
      </c>
      <c r="D943" t="s">
        <v>45</v>
      </c>
      <c r="E943" t="s">
        <v>342</v>
      </c>
      <c r="F943" t="s">
        <v>36</v>
      </c>
      <c r="G943" t="s">
        <v>3693</v>
      </c>
      <c r="H943" t="s">
        <v>875</v>
      </c>
      <c r="I943" t="s">
        <v>117</v>
      </c>
      <c r="J943" t="s">
        <v>117</v>
      </c>
      <c r="K943" t="s">
        <v>3694</v>
      </c>
      <c r="L943" t="s">
        <v>146</v>
      </c>
      <c r="M943" t="s">
        <v>271</v>
      </c>
      <c r="N943" t="s">
        <v>3695</v>
      </c>
      <c r="O943" s="2">
        <v>40</v>
      </c>
      <c r="P943">
        <v>1</v>
      </c>
      <c r="Q943" s="3">
        <v>0</v>
      </c>
      <c r="R943" s="2">
        <v>4.83</v>
      </c>
      <c r="S943" s="2">
        <v>5.03</v>
      </c>
      <c r="T943" t="s">
        <v>33</v>
      </c>
      <c r="U943">
        <v>2013</v>
      </c>
    </row>
    <row r="944" spans="1:21" x14ac:dyDescent="0.3">
      <c r="A944" t="s">
        <v>3696</v>
      </c>
      <c r="B944" s="1">
        <v>41631</v>
      </c>
      <c r="C944" s="1">
        <v>41636</v>
      </c>
      <c r="D944" t="s">
        <v>22</v>
      </c>
      <c r="E944" t="s">
        <v>3644</v>
      </c>
      <c r="F944" t="s">
        <v>24</v>
      </c>
      <c r="G944" t="s">
        <v>3697</v>
      </c>
      <c r="H944" t="s">
        <v>152</v>
      </c>
      <c r="I944" t="s">
        <v>27</v>
      </c>
      <c r="J944" t="s">
        <v>153</v>
      </c>
      <c r="K944" t="s">
        <v>3698</v>
      </c>
      <c r="L944" t="s">
        <v>30</v>
      </c>
      <c r="M944" t="s">
        <v>410</v>
      </c>
      <c r="N944" t="s">
        <v>2838</v>
      </c>
      <c r="O944" s="2">
        <v>25</v>
      </c>
      <c r="P944">
        <v>2</v>
      </c>
      <c r="Q944" s="3">
        <v>0</v>
      </c>
      <c r="R944" s="2">
        <v>3.96</v>
      </c>
      <c r="S944" s="2">
        <v>2.25</v>
      </c>
      <c r="T944" t="s">
        <v>33</v>
      </c>
      <c r="U944">
        <v>2013</v>
      </c>
    </row>
    <row r="945" spans="1:21" x14ac:dyDescent="0.3">
      <c r="A945" t="s">
        <v>3699</v>
      </c>
      <c r="B945" s="1">
        <v>40907</v>
      </c>
      <c r="C945" s="1">
        <v>40912</v>
      </c>
      <c r="D945" t="s">
        <v>22</v>
      </c>
      <c r="E945" t="s">
        <v>1199</v>
      </c>
      <c r="F945" t="s">
        <v>54</v>
      </c>
      <c r="G945" t="s">
        <v>893</v>
      </c>
      <c r="H945" t="s">
        <v>894</v>
      </c>
      <c r="I945" t="s">
        <v>117</v>
      </c>
      <c r="J945" t="s">
        <v>117</v>
      </c>
      <c r="K945" t="s">
        <v>3700</v>
      </c>
      <c r="L945" t="s">
        <v>30</v>
      </c>
      <c r="M945" t="s">
        <v>42</v>
      </c>
      <c r="N945" t="s">
        <v>43</v>
      </c>
      <c r="O945" s="2">
        <v>84</v>
      </c>
      <c r="P945">
        <v>1</v>
      </c>
      <c r="Q945" s="3">
        <v>0</v>
      </c>
      <c r="R945" s="2">
        <v>30.36</v>
      </c>
      <c r="S945" s="2">
        <v>6.47</v>
      </c>
      <c r="T945" t="s">
        <v>33</v>
      </c>
      <c r="U945">
        <v>2011</v>
      </c>
    </row>
    <row r="946" spans="1:21" x14ac:dyDescent="0.3">
      <c r="A946" t="s">
        <v>3701</v>
      </c>
      <c r="B946" s="1">
        <v>40894</v>
      </c>
      <c r="C946" s="1">
        <v>40898</v>
      </c>
      <c r="D946" t="s">
        <v>22</v>
      </c>
      <c r="E946" t="s">
        <v>1639</v>
      </c>
      <c r="F946" t="s">
        <v>54</v>
      </c>
      <c r="G946" t="s">
        <v>936</v>
      </c>
      <c r="H946" t="s">
        <v>72</v>
      </c>
      <c r="I946" t="s">
        <v>27</v>
      </c>
      <c r="J946" t="s">
        <v>73</v>
      </c>
      <c r="K946" t="s">
        <v>3702</v>
      </c>
      <c r="L946" t="s">
        <v>146</v>
      </c>
      <c r="M946" t="s">
        <v>195</v>
      </c>
      <c r="N946" t="s">
        <v>3703</v>
      </c>
      <c r="O946" s="2">
        <v>533</v>
      </c>
      <c r="P946">
        <v>2</v>
      </c>
      <c r="Q946" s="3">
        <v>0</v>
      </c>
      <c r="R946" s="2">
        <v>207.66</v>
      </c>
      <c r="S946" s="2">
        <v>43.64</v>
      </c>
      <c r="T946" t="s">
        <v>33</v>
      </c>
      <c r="U946">
        <v>2011</v>
      </c>
    </row>
    <row r="947" spans="1:21" x14ac:dyDescent="0.3">
      <c r="A947" t="s">
        <v>3704</v>
      </c>
      <c r="B947" s="1">
        <v>40586</v>
      </c>
      <c r="C947" s="1">
        <v>40590</v>
      </c>
      <c r="D947" t="s">
        <v>45</v>
      </c>
      <c r="E947" t="s">
        <v>3705</v>
      </c>
      <c r="F947" t="s">
        <v>54</v>
      </c>
      <c r="G947" t="s">
        <v>1616</v>
      </c>
      <c r="H947" t="s">
        <v>135</v>
      </c>
      <c r="I947" t="s">
        <v>136</v>
      </c>
      <c r="J947" t="s">
        <v>57</v>
      </c>
      <c r="K947" t="s">
        <v>3706</v>
      </c>
      <c r="L947" t="s">
        <v>30</v>
      </c>
      <c r="M947" t="s">
        <v>66</v>
      </c>
      <c r="N947" t="s">
        <v>3707</v>
      </c>
      <c r="O947" s="2">
        <v>65</v>
      </c>
      <c r="P947">
        <v>2</v>
      </c>
      <c r="Q947" s="3">
        <v>0</v>
      </c>
      <c r="R947" s="2">
        <v>2.5983999999999998</v>
      </c>
      <c r="S947" s="2">
        <v>6.78</v>
      </c>
      <c r="T947" t="s">
        <v>33</v>
      </c>
      <c r="U947">
        <v>2011</v>
      </c>
    </row>
    <row r="948" spans="1:21" x14ac:dyDescent="0.3">
      <c r="A948" t="s">
        <v>3708</v>
      </c>
      <c r="B948" s="1">
        <v>42003</v>
      </c>
      <c r="C948" s="1">
        <v>42008</v>
      </c>
      <c r="D948" t="s">
        <v>22</v>
      </c>
      <c r="E948" t="s">
        <v>2890</v>
      </c>
      <c r="F948" t="s">
        <v>54</v>
      </c>
      <c r="G948" t="s">
        <v>758</v>
      </c>
      <c r="H948" t="s">
        <v>144</v>
      </c>
      <c r="I948" t="s">
        <v>117</v>
      </c>
      <c r="J948" t="s">
        <v>117</v>
      </c>
      <c r="K948" t="s">
        <v>3709</v>
      </c>
      <c r="L948" t="s">
        <v>30</v>
      </c>
      <c r="M948" t="s">
        <v>66</v>
      </c>
      <c r="N948" t="s">
        <v>3710</v>
      </c>
      <c r="O948" s="2">
        <v>5</v>
      </c>
      <c r="P948">
        <v>1</v>
      </c>
      <c r="Q948" s="3">
        <v>0.7</v>
      </c>
      <c r="R948" s="2">
        <v>-10.173</v>
      </c>
      <c r="S948" s="2">
        <v>0.27</v>
      </c>
      <c r="T948" t="s">
        <v>33</v>
      </c>
      <c r="U948">
        <v>2014</v>
      </c>
    </row>
    <row r="949" spans="1:21" x14ac:dyDescent="0.3">
      <c r="A949" t="s">
        <v>3711</v>
      </c>
      <c r="B949" s="1">
        <v>41632</v>
      </c>
      <c r="C949" s="1">
        <v>41635</v>
      </c>
      <c r="D949" t="s">
        <v>45</v>
      </c>
      <c r="E949" t="s">
        <v>639</v>
      </c>
      <c r="F949" t="s">
        <v>54</v>
      </c>
      <c r="G949" t="s">
        <v>1942</v>
      </c>
      <c r="H949" t="s">
        <v>1147</v>
      </c>
      <c r="I949" t="s">
        <v>39</v>
      </c>
      <c r="J949" t="s">
        <v>129</v>
      </c>
      <c r="K949" t="s">
        <v>3712</v>
      </c>
      <c r="L949" t="s">
        <v>59</v>
      </c>
      <c r="M949" t="s">
        <v>60</v>
      </c>
      <c r="N949" t="s">
        <v>3405</v>
      </c>
      <c r="O949" s="2">
        <v>40</v>
      </c>
      <c r="P949">
        <v>4</v>
      </c>
      <c r="Q949" s="3">
        <v>0.4</v>
      </c>
      <c r="R949" s="2">
        <v>-13.375999999999999</v>
      </c>
      <c r="S949" s="2">
        <v>1.82</v>
      </c>
      <c r="T949" t="s">
        <v>33</v>
      </c>
      <c r="U949">
        <v>2013</v>
      </c>
    </row>
    <row r="950" spans="1:21" x14ac:dyDescent="0.3">
      <c r="A950" t="s">
        <v>3713</v>
      </c>
      <c r="B950" s="1">
        <v>40980</v>
      </c>
      <c r="C950" s="1">
        <v>40985</v>
      </c>
      <c r="D950" t="s">
        <v>22</v>
      </c>
      <c r="E950" t="s">
        <v>406</v>
      </c>
      <c r="F950" t="s">
        <v>24</v>
      </c>
      <c r="G950" t="s">
        <v>1105</v>
      </c>
      <c r="H950" t="s">
        <v>135</v>
      </c>
      <c r="I950" t="s">
        <v>136</v>
      </c>
      <c r="J950" t="s">
        <v>40</v>
      </c>
      <c r="K950" t="s">
        <v>3714</v>
      </c>
      <c r="L950" t="s">
        <v>30</v>
      </c>
      <c r="M950" t="s">
        <v>410</v>
      </c>
      <c r="N950" t="s">
        <v>3715</v>
      </c>
      <c r="O950" s="2">
        <v>9</v>
      </c>
      <c r="P950">
        <v>3</v>
      </c>
      <c r="Q950" s="3">
        <v>0.2</v>
      </c>
      <c r="R950" s="2">
        <v>2.9321999999999999</v>
      </c>
      <c r="S950" s="2">
        <v>0.48</v>
      </c>
      <c r="T950" t="s">
        <v>33</v>
      </c>
      <c r="U950">
        <v>2012</v>
      </c>
    </row>
    <row r="951" spans="1:21" x14ac:dyDescent="0.3">
      <c r="A951" t="s">
        <v>3716</v>
      </c>
      <c r="B951" s="1">
        <v>41863</v>
      </c>
      <c r="C951" s="1">
        <v>41867</v>
      </c>
      <c r="D951" t="s">
        <v>45</v>
      </c>
      <c r="E951" t="s">
        <v>3552</v>
      </c>
      <c r="F951" t="s">
        <v>54</v>
      </c>
      <c r="G951" t="s">
        <v>3717</v>
      </c>
      <c r="H951" t="s">
        <v>87</v>
      </c>
      <c r="I951" t="s">
        <v>88</v>
      </c>
      <c r="J951" t="s">
        <v>88</v>
      </c>
      <c r="K951" t="s">
        <v>3718</v>
      </c>
      <c r="L951" t="s">
        <v>30</v>
      </c>
      <c r="M951" t="s">
        <v>90</v>
      </c>
      <c r="N951" t="s">
        <v>943</v>
      </c>
      <c r="O951" s="2">
        <v>10</v>
      </c>
      <c r="P951">
        <v>1</v>
      </c>
      <c r="Q951" s="3">
        <v>0.6</v>
      </c>
      <c r="R951" s="2">
        <v>-6.8579999999999997</v>
      </c>
      <c r="S951" s="2">
        <v>1.3</v>
      </c>
      <c r="T951" t="s">
        <v>99</v>
      </c>
      <c r="U951">
        <v>2014</v>
      </c>
    </row>
    <row r="952" spans="1:21" x14ac:dyDescent="0.3">
      <c r="A952" t="s">
        <v>3719</v>
      </c>
      <c r="B952" s="1">
        <v>41988</v>
      </c>
      <c r="C952" s="1">
        <v>41992</v>
      </c>
      <c r="D952" t="s">
        <v>22</v>
      </c>
      <c r="E952" t="s">
        <v>935</v>
      </c>
      <c r="F952" t="s">
        <v>54</v>
      </c>
      <c r="G952" t="s">
        <v>1039</v>
      </c>
      <c r="H952" t="s">
        <v>205</v>
      </c>
      <c r="I952" t="s">
        <v>49</v>
      </c>
      <c r="J952" t="s">
        <v>57</v>
      </c>
      <c r="K952" t="s">
        <v>3720</v>
      </c>
      <c r="L952" t="s">
        <v>30</v>
      </c>
      <c r="M952" t="s">
        <v>90</v>
      </c>
      <c r="N952" t="s">
        <v>3721</v>
      </c>
      <c r="O952" s="2">
        <v>155</v>
      </c>
      <c r="P952">
        <v>3</v>
      </c>
      <c r="Q952" s="3">
        <v>0</v>
      </c>
      <c r="R952" s="2">
        <v>4.59</v>
      </c>
      <c r="S952" s="2">
        <v>13.74</v>
      </c>
      <c r="T952" t="s">
        <v>99</v>
      </c>
      <c r="U952">
        <v>2014</v>
      </c>
    </row>
    <row r="953" spans="1:21" x14ac:dyDescent="0.3">
      <c r="A953" t="s">
        <v>3722</v>
      </c>
      <c r="B953" s="1">
        <v>41498</v>
      </c>
      <c r="C953" s="1">
        <v>41502</v>
      </c>
      <c r="D953" t="s">
        <v>22</v>
      </c>
      <c r="E953" t="s">
        <v>3723</v>
      </c>
      <c r="F953" t="s">
        <v>54</v>
      </c>
      <c r="G953" t="s">
        <v>3724</v>
      </c>
      <c r="H953" t="s">
        <v>205</v>
      </c>
      <c r="I953" t="s">
        <v>49</v>
      </c>
      <c r="J953" t="s">
        <v>57</v>
      </c>
      <c r="K953" t="s">
        <v>3725</v>
      </c>
      <c r="L953" t="s">
        <v>30</v>
      </c>
      <c r="M953" t="s">
        <v>90</v>
      </c>
      <c r="N953" t="s">
        <v>421</v>
      </c>
      <c r="O953" s="2">
        <v>109</v>
      </c>
      <c r="P953">
        <v>7</v>
      </c>
      <c r="Q953" s="3">
        <v>0</v>
      </c>
      <c r="R953" s="2">
        <v>35.700000000000003</v>
      </c>
      <c r="S953" s="2">
        <v>3.38</v>
      </c>
      <c r="T953" t="s">
        <v>33</v>
      </c>
      <c r="U953">
        <v>2013</v>
      </c>
    </row>
    <row r="954" spans="1:21" x14ac:dyDescent="0.3">
      <c r="A954" t="s">
        <v>3726</v>
      </c>
      <c r="B954" s="1">
        <v>41863</v>
      </c>
      <c r="C954" s="1">
        <v>41867</v>
      </c>
      <c r="D954" t="s">
        <v>22</v>
      </c>
      <c r="E954" t="s">
        <v>2148</v>
      </c>
      <c r="F954" t="s">
        <v>54</v>
      </c>
      <c r="G954" t="s">
        <v>1044</v>
      </c>
      <c r="H954" t="s">
        <v>844</v>
      </c>
      <c r="I954" t="s">
        <v>39</v>
      </c>
      <c r="J954" t="s">
        <v>57</v>
      </c>
      <c r="K954" t="s">
        <v>3727</v>
      </c>
      <c r="L954" t="s">
        <v>59</v>
      </c>
      <c r="M954" t="s">
        <v>329</v>
      </c>
      <c r="N954" t="s">
        <v>3728</v>
      </c>
      <c r="O954" s="2">
        <v>537</v>
      </c>
      <c r="P954">
        <v>2</v>
      </c>
      <c r="Q954" s="3">
        <v>0.2</v>
      </c>
      <c r="R954" s="2">
        <v>-26.88</v>
      </c>
      <c r="S954" s="2">
        <v>77.260000000000005</v>
      </c>
      <c r="T954" t="s">
        <v>99</v>
      </c>
      <c r="U954">
        <v>2014</v>
      </c>
    </row>
    <row r="955" spans="1:21" x14ac:dyDescent="0.3">
      <c r="A955" t="s">
        <v>3685</v>
      </c>
      <c r="B955" s="1">
        <v>42004</v>
      </c>
      <c r="C955" s="1">
        <v>42009</v>
      </c>
      <c r="D955" t="s">
        <v>45</v>
      </c>
      <c r="E955" t="s">
        <v>2071</v>
      </c>
      <c r="F955" t="s">
        <v>24</v>
      </c>
      <c r="G955" t="s">
        <v>1098</v>
      </c>
      <c r="H955" t="s">
        <v>72</v>
      </c>
      <c r="I955" t="s">
        <v>27</v>
      </c>
      <c r="J955" t="s">
        <v>73</v>
      </c>
      <c r="K955" t="s">
        <v>3729</v>
      </c>
      <c r="L955" t="s">
        <v>30</v>
      </c>
      <c r="M955" t="s">
        <v>66</v>
      </c>
      <c r="N955" t="s">
        <v>2999</v>
      </c>
      <c r="O955" s="2">
        <v>72</v>
      </c>
      <c r="P955">
        <v>3</v>
      </c>
      <c r="Q955" s="3">
        <v>0</v>
      </c>
      <c r="R955" s="2">
        <v>4.32</v>
      </c>
      <c r="S955" s="2">
        <v>3.88</v>
      </c>
      <c r="T955" t="s">
        <v>33</v>
      </c>
      <c r="U955">
        <v>2014</v>
      </c>
    </row>
    <row r="956" spans="1:21" x14ac:dyDescent="0.3">
      <c r="A956" t="s">
        <v>3730</v>
      </c>
      <c r="B956" s="1">
        <v>41996</v>
      </c>
      <c r="C956" s="1">
        <v>42001</v>
      </c>
      <c r="D956" t="s">
        <v>45</v>
      </c>
      <c r="E956" t="s">
        <v>3731</v>
      </c>
      <c r="F956" t="s">
        <v>24</v>
      </c>
      <c r="G956" t="s">
        <v>3344</v>
      </c>
      <c r="H956" t="s">
        <v>135</v>
      </c>
      <c r="I956" t="s">
        <v>136</v>
      </c>
      <c r="J956" t="s">
        <v>396</v>
      </c>
      <c r="K956" t="s">
        <v>3732</v>
      </c>
      <c r="L956" t="s">
        <v>59</v>
      </c>
      <c r="M956" t="s">
        <v>339</v>
      </c>
      <c r="N956" t="s">
        <v>3733</v>
      </c>
      <c r="O956" s="2">
        <v>221</v>
      </c>
      <c r="P956">
        <v>1</v>
      </c>
      <c r="Q956" s="3">
        <v>0</v>
      </c>
      <c r="R956" s="2">
        <v>50.825400000000002</v>
      </c>
      <c r="S956" s="2">
        <v>12.61</v>
      </c>
      <c r="T956" t="s">
        <v>33</v>
      </c>
      <c r="U956">
        <v>2014</v>
      </c>
    </row>
    <row r="957" spans="1:21" x14ac:dyDescent="0.3">
      <c r="A957" t="s">
        <v>3734</v>
      </c>
      <c r="B957" s="1">
        <v>41256</v>
      </c>
      <c r="C957" s="1">
        <v>41263</v>
      </c>
      <c r="D957" t="s">
        <v>22</v>
      </c>
      <c r="E957" t="s">
        <v>3009</v>
      </c>
      <c r="F957" t="s">
        <v>36</v>
      </c>
      <c r="G957" t="s">
        <v>3735</v>
      </c>
      <c r="H957" t="s">
        <v>135</v>
      </c>
      <c r="I957" t="s">
        <v>136</v>
      </c>
      <c r="J957" t="s">
        <v>396</v>
      </c>
      <c r="K957" t="s">
        <v>3736</v>
      </c>
      <c r="L957" t="s">
        <v>30</v>
      </c>
      <c r="M957" t="s">
        <v>31</v>
      </c>
      <c r="N957" t="s">
        <v>3737</v>
      </c>
      <c r="O957" s="2">
        <v>38</v>
      </c>
      <c r="P957">
        <v>2</v>
      </c>
      <c r="Q957" s="3">
        <v>0</v>
      </c>
      <c r="R957" s="2">
        <v>18.940000000000001</v>
      </c>
      <c r="S957" s="2">
        <v>4.03</v>
      </c>
      <c r="T957" t="s">
        <v>33</v>
      </c>
      <c r="U957">
        <v>2012</v>
      </c>
    </row>
    <row r="958" spans="1:21" x14ac:dyDescent="0.3">
      <c r="A958" t="s">
        <v>3738</v>
      </c>
      <c r="B958" s="1">
        <v>41985</v>
      </c>
      <c r="C958" s="1">
        <v>41990</v>
      </c>
      <c r="D958" t="s">
        <v>22</v>
      </c>
      <c r="E958" t="s">
        <v>2185</v>
      </c>
      <c r="F958" t="s">
        <v>36</v>
      </c>
      <c r="G958" t="s">
        <v>3739</v>
      </c>
      <c r="H958" t="s">
        <v>152</v>
      </c>
      <c r="I958" t="s">
        <v>27</v>
      </c>
      <c r="J958" t="s">
        <v>153</v>
      </c>
      <c r="K958" t="s">
        <v>3740</v>
      </c>
      <c r="L958" t="s">
        <v>30</v>
      </c>
      <c r="M958" t="s">
        <v>105</v>
      </c>
      <c r="N958" t="s">
        <v>3741</v>
      </c>
      <c r="O958" s="2">
        <v>53</v>
      </c>
      <c r="P958">
        <v>1</v>
      </c>
      <c r="Q958" s="3">
        <v>0</v>
      </c>
      <c r="R958" s="2">
        <v>2.61</v>
      </c>
      <c r="S958" s="2">
        <v>2.4900000000000002</v>
      </c>
      <c r="T958" t="s">
        <v>33</v>
      </c>
      <c r="U958">
        <v>2014</v>
      </c>
    </row>
    <row r="959" spans="1:21" x14ac:dyDescent="0.3">
      <c r="A959" t="s">
        <v>3668</v>
      </c>
      <c r="B959" s="1">
        <v>41072</v>
      </c>
      <c r="C959" s="1">
        <v>41074</v>
      </c>
      <c r="D959" t="s">
        <v>84</v>
      </c>
      <c r="E959" t="s">
        <v>3669</v>
      </c>
      <c r="F959" t="s">
        <v>54</v>
      </c>
      <c r="G959" t="s">
        <v>2203</v>
      </c>
      <c r="H959" t="s">
        <v>875</v>
      </c>
      <c r="I959" t="s">
        <v>117</v>
      </c>
      <c r="J959" t="s">
        <v>117</v>
      </c>
      <c r="K959" t="s">
        <v>3742</v>
      </c>
      <c r="L959" t="s">
        <v>30</v>
      </c>
      <c r="M959" t="s">
        <v>90</v>
      </c>
      <c r="N959" t="s">
        <v>3743</v>
      </c>
      <c r="O959" s="2">
        <v>609</v>
      </c>
      <c r="P959">
        <v>12</v>
      </c>
      <c r="Q959" s="3">
        <v>0</v>
      </c>
      <c r="R959" s="2">
        <v>79.2</v>
      </c>
      <c r="S959" s="2">
        <v>9.18</v>
      </c>
      <c r="T959" t="s">
        <v>33</v>
      </c>
      <c r="U959">
        <v>2012</v>
      </c>
    </row>
    <row r="960" spans="1:21" x14ac:dyDescent="0.3">
      <c r="A960" t="s">
        <v>3744</v>
      </c>
      <c r="B960" s="1">
        <v>41863</v>
      </c>
      <c r="C960" s="1">
        <v>41865</v>
      </c>
      <c r="D960" t="s">
        <v>45</v>
      </c>
      <c r="E960" t="s">
        <v>3459</v>
      </c>
      <c r="F960" t="s">
        <v>54</v>
      </c>
      <c r="G960" t="s">
        <v>440</v>
      </c>
      <c r="H960" t="s">
        <v>56</v>
      </c>
      <c r="I960" t="s">
        <v>49</v>
      </c>
      <c r="J960" t="s">
        <v>57</v>
      </c>
      <c r="K960" t="s">
        <v>3745</v>
      </c>
      <c r="L960" t="s">
        <v>30</v>
      </c>
      <c r="M960" t="s">
        <v>90</v>
      </c>
      <c r="N960" t="s">
        <v>3746</v>
      </c>
      <c r="O960" s="2">
        <v>64</v>
      </c>
      <c r="P960">
        <v>2</v>
      </c>
      <c r="Q960" s="3">
        <v>0</v>
      </c>
      <c r="R960" s="2">
        <v>32.1</v>
      </c>
      <c r="S960" s="2">
        <v>5.31</v>
      </c>
      <c r="T960" t="s">
        <v>99</v>
      </c>
      <c r="U960">
        <v>2014</v>
      </c>
    </row>
    <row r="961" spans="1:21" x14ac:dyDescent="0.3">
      <c r="A961" t="s">
        <v>3747</v>
      </c>
      <c r="B961" s="1">
        <v>41621</v>
      </c>
      <c r="C961" s="1">
        <v>41626</v>
      </c>
      <c r="D961" t="s">
        <v>22</v>
      </c>
      <c r="E961" t="s">
        <v>2148</v>
      </c>
      <c r="F961" t="s">
        <v>54</v>
      </c>
      <c r="G961" t="s">
        <v>204</v>
      </c>
      <c r="H961" t="s">
        <v>205</v>
      </c>
      <c r="I961" t="s">
        <v>49</v>
      </c>
      <c r="J961" t="s">
        <v>57</v>
      </c>
      <c r="K961" t="s">
        <v>3748</v>
      </c>
      <c r="L961" t="s">
        <v>30</v>
      </c>
      <c r="M961" t="s">
        <v>90</v>
      </c>
      <c r="N961" t="s">
        <v>3749</v>
      </c>
      <c r="O961" s="2">
        <v>30</v>
      </c>
      <c r="P961">
        <v>3</v>
      </c>
      <c r="Q961" s="3">
        <v>0</v>
      </c>
      <c r="R961" s="2">
        <v>14.76</v>
      </c>
      <c r="S961" s="2">
        <v>3.02</v>
      </c>
      <c r="T961" t="s">
        <v>33</v>
      </c>
      <c r="U961">
        <v>2013</v>
      </c>
    </row>
    <row r="962" spans="1:21" x14ac:dyDescent="0.3">
      <c r="A962" t="s">
        <v>3750</v>
      </c>
      <c r="B962" s="1">
        <v>41529</v>
      </c>
      <c r="C962" s="1">
        <v>41534</v>
      </c>
      <c r="D962" t="s">
        <v>22</v>
      </c>
      <c r="E962" t="s">
        <v>2527</v>
      </c>
      <c r="F962" t="s">
        <v>54</v>
      </c>
      <c r="G962" t="s">
        <v>3751</v>
      </c>
      <c r="H962" t="s">
        <v>429</v>
      </c>
      <c r="I962" t="s">
        <v>117</v>
      </c>
      <c r="J962" t="s">
        <v>117</v>
      </c>
      <c r="K962" t="s">
        <v>3752</v>
      </c>
      <c r="L962" t="s">
        <v>146</v>
      </c>
      <c r="M962" t="s">
        <v>271</v>
      </c>
      <c r="N962" t="s">
        <v>3753</v>
      </c>
      <c r="O962" s="2">
        <v>29</v>
      </c>
      <c r="P962">
        <v>1</v>
      </c>
      <c r="Q962" s="3">
        <v>0</v>
      </c>
      <c r="R962" s="2">
        <v>6.15</v>
      </c>
      <c r="S962" s="2">
        <v>1.75</v>
      </c>
      <c r="T962" t="s">
        <v>33</v>
      </c>
      <c r="U962">
        <v>2013</v>
      </c>
    </row>
    <row r="963" spans="1:21" x14ac:dyDescent="0.3">
      <c r="A963" t="s">
        <v>3754</v>
      </c>
      <c r="B963" s="1">
        <v>41996</v>
      </c>
      <c r="C963" s="1">
        <v>42001</v>
      </c>
      <c r="D963" t="s">
        <v>22</v>
      </c>
      <c r="E963" t="s">
        <v>2642</v>
      </c>
      <c r="F963" t="s">
        <v>54</v>
      </c>
      <c r="G963" t="s">
        <v>315</v>
      </c>
      <c r="H963" t="s">
        <v>316</v>
      </c>
      <c r="I963" t="s">
        <v>27</v>
      </c>
      <c r="J963" t="s">
        <v>212</v>
      </c>
      <c r="K963" t="s">
        <v>3755</v>
      </c>
      <c r="L963" t="s">
        <v>59</v>
      </c>
      <c r="M963" t="s">
        <v>329</v>
      </c>
      <c r="N963" t="s">
        <v>730</v>
      </c>
      <c r="O963" s="2">
        <v>379</v>
      </c>
      <c r="P963">
        <v>2</v>
      </c>
      <c r="Q963" s="3">
        <v>0.4</v>
      </c>
      <c r="R963" s="2">
        <v>63.143999999999998</v>
      </c>
      <c r="S963" s="2">
        <v>25.78</v>
      </c>
      <c r="T963" t="s">
        <v>33</v>
      </c>
      <c r="U963">
        <v>2014</v>
      </c>
    </row>
    <row r="964" spans="1:21" x14ac:dyDescent="0.3">
      <c r="A964" t="s">
        <v>3756</v>
      </c>
      <c r="B964" s="1">
        <v>41802</v>
      </c>
      <c r="C964" s="1">
        <v>41804</v>
      </c>
      <c r="D964" t="s">
        <v>45</v>
      </c>
      <c r="E964" t="s">
        <v>2453</v>
      </c>
      <c r="F964" t="s">
        <v>54</v>
      </c>
      <c r="G964" t="s">
        <v>1733</v>
      </c>
      <c r="H964" t="s">
        <v>408</v>
      </c>
      <c r="I964" t="s">
        <v>39</v>
      </c>
      <c r="J964" t="s">
        <v>40</v>
      </c>
      <c r="K964" t="s">
        <v>3757</v>
      </c>
      <c r="L964" t="s">
        <v>59</v>
      </c>
      <c r="M964" t="s">
        <v>339</v>
      </c>
      <c r="N964" t="s">
        <v>3758</v>
      </c>
      <c r="O964" s="2">
        <v>99</v>
      </c>
      <c r="P964">
        <v>2</v>
      </c>
      <c r="Q964" s="3">
        <v>0.4</v>
      </c>
      <c r="R964" s="2">
        <v>4.9279999999999999</v>
      </c>
      <c r="S964" s="2">
        <v>17.97</v>
      </c>
      <c r="T964" t="s">
        <v>68</v>
      </c>
      <c r="U964">
        <v>2014</v>
      </c>
    </row>
    <row r="965" spans="1:21" x14ac:dyDescent="0.3">
      <c r="A965" t="s">
        <v>3759</v>
      </c>
      <c r="B965" s="1">
        <v>40891</v>
      </c>
      <c r="C965" s="1">
        <v>40895</v>
      </c>
      <c r="D965" t="s">
        <v>22</v>
      </c>
      <c r="E965" t="s">
        <v>2930</v>
      </c>
      <c r="F965" t="s">
        <v>54</v>
      </c>
      <c r="G965" t="s">
        <v>414</v>
      </c>
      <c r="H965" t="s">
        <v>414</v>
      </c>
      <c r="I965" t="s">
        <v>39</v>
      </c>
      <c r="J965" t="s">
        <v>57</v>
      </c>
      <c r="K965" t="s">
        <v>3760</v>
      </c>
      <c r="L965" t="s">
        <v>30</v>
      </c>
      <c r="M965" t="s">
        <v>42</v>
      </c>
      <c r="N965" t="s">
        <v>3761</v>
      </c>
      <c r="O965" s="2">
        <v>55</v>
      </c>
      <c r="P965">
        <v>2</v>
      </c>
      <c r="Q965" s="3">
        <v>0.4</v>
      </c>
      <c r="R965" s="2">
        <v>-8.2240000000000002</v>
      </c>
      <c r="S965" s="2">
        <v>2.08</v>
      </c>
      <c r="T965" t="s">
        <v>33</v>
      </c>
      <c r="U965">
        <v>2011</v>
      </c>
    </row>
    <row r="966" spans="1:21" x14ac:dyDescent="0.3">
      <c r="A966" t="s">
        <v>3762</v>
      </c>
      <c r="B966" s="1">
        <v>41270</v>
      </c>
      <c r="C966" s="1">
        <v>41275</v>
      </c>
      <c r="D966" t="s">
        <v>22</v>
      </c>
      <c r="E966" t="s">
        <v>3763</v>
      </c>
      <c r="F966" t="s">
        <v>36</v>
      </c>
      <c r="G966" t="s">
        <v>3764</v>
      </c>
      <c r="H966" t="s">
        <v>1937</v>
      </c>
      <c r="I966" t="s">
        <v>88</v>
      </c>
      <c r="J966" t="s">
        <v>88</v>
      </c>
      <c r="K966" t="s">
        <v>3765</v>
      </c>
      <c r="L966" t="s">
        <v>30</v>
      </c>
      <c r="M966" t="s">
        <v>66</v>
      </c>
      <c r="N966" t="s">
        <v>3766</v>
      </c>
      <c r="O966" s="2">
        <v>29</v>
      </c>
      <c r="P966">
        <v>2</v>
      </c>
      <c r="Q966" s="3">
        <v>0.7</v>
      </c>
      <c r="R966" s="2">
        <v>-67.83</v>
      </c>
      <c r="S966" s="2">
        <v>2.99</v>
      </c>
      <c r="T966" t="s">
        <v>99</v>
      </c>
      <c r="U966">
        <v>2012</v>
      </c>
    </row>
    <row r="967" spans="1:21" x14ac:dyDescent="0.3">
      <c r="A967" t="s">
        <v>3767</v>
      </c>
      <c r="B967" s="1">
        <v>40892</v>
      </c>
      <c r="C967" s="1">
        <v>40897</v>
      </c>
      <c r="D967" t="s">
        <v>45</v>
      </c>
      <c r="E967" t="s">
        <v>3768</v>
      </c>
      <c r="F967" t="s">
        <v>54</v>
      </c>
      <c r="G967" t="s">
        <v>3769</v>
      </c>
      <c r="H967" t="s">
        <v>87</v>
      </c>
      <c r="I967" t="s">
        <v>88</v>
      </c>
      <c r="J967" t="s">
        <v>88</v>
      </c>
      <c r="K967" t="s">
        <v>3770</v>
      </c>
      <c r="L967" t="s">
        <v>59</v>
      </c>
      <c r="M967" t="s">
        <v>139</v>
      </c>
      <c r="N967" t="s">
        <v>2522</v>
      </c>
      <c r="O967" s="2">
        <v>182</v>
      </c>
      <c r="P967">
        <v>1</v>
      </c>
      <c r="Q967" s="3">
        <v>0.6</v>
      </c>
      <c r="R967" s="2">
        <v>-222.816</v>
      </c>
      <c r="S967" s="2">
        <v>12.71</v>
      </c>
      <c r="T967" t="s">
        <v>33</v>
      </c>
      <c r="U967">
        <v>2011</v>
      </c>
    </row>
    <row r="968" spans="1:21" x14ac:dyDescent="0.3">
      <c r="A968" t="s">
        <v>3771</v>
      </c>
      <c r="B968" s="1">
        <v>41268</v>
      </c>
      <c r="C968" s="1">
        <v>41272</v>
      </c>
      <c r="D968" t="s">
        <v>22</v>
      </c>
      <c r="E968" t="s">
        <v>2669</v>
      </c>
      <c r="F968" t="s">
        <v>54</v>
      </c>
      <c r="G968" t="s">
        <v>1942</v>
      </c>
      <c r="H968" t="s">
        <v>1147</v>
      </c>
      <c r="I968" t="s">
        <v>39</v>
      </c>
      <c r="J968" t="s">
        <v>129</v>
      </c>
      <c r="K968" t="s">
        <v>3772</v>
      </c>
      <c r="L968" t="s">
        <v>30</v>
      </c>
      <c r="M968" t="s">
        <v>410</v>
      </c>
      <c r="N968" t="s">
        <v>3773</v>
      </c>
      <c r="O968" s="2">
        <v>113</v>
      </c>
      <c r="P968">
        <v>9</v>
      </c>
      <c r="Q968" s="3">
        <v>0</v>
      </c>
      <c r="R968" s="2">
        <v>21.42</v>
      </c>
      <c r="S968" s="2">
        <v>6.22</v>
      </c>
      <c r="T968" t="s">
        <v>33</v>
      </c>
      <c r="U968">
        <v>2012</v>
      </c>
    </row>
    <row r="969" spans="1:21" x14ac:dyDescent="0.3">
      <c r="A969" t="s">
        <v>3774</v>
      </c>
      <c r="B969" s="1">
        <v>40904</v>
      </c>
      <c r="C969" s="1">
        <v>40906</v>
      </c>
      <c r="D969" t="s">
        <v>84</v>
      </c>
      <c r="E969" t="s">
        <v>3775</v>
      </c>
      <c r="F969" t="s">
        <v>54</v>
      </c>
      <c r="G969" t="s">
        <v>1039</v>
      </c>
      <c r="H969" t="s">
        <v>205</v>
      </c>
      <c r="I969" t="s">
        <v>49</v>
      </c>
      <c r="J969" t="s">
        <v>57</v>
      </c>
      <c r="K969" t="s">
        <v>3776</v>
      </c>
      <c r="L969" t="s">
        <v>30</v>
      </c>
      <c r="M969" t="s">
        <v>370</v>
      </c>
      <c r="N969" t="s">
        <v>3777</v>
      </c>
      <c r="O969" s="2">
        <v>87</v>
      </c>
      <c r="P969">
        <v>2</v>
      </c>
      <c r="Q969" s="3">
        <v>0</v>
      </c>
      <c r="R969" s="2">
        <v>40.68</v>
      </c>
      <c r="S969" s="2">
        <v>20.329999999999998</v>
      </c>
      <c r="T969" t="s">
        <v>68</v>
      </c>
      <c r="U969">
        <v>2011</v>
      </c>
    </row>
    <row r="970" spans="1:21" x14ac:dyDescent="0.3">
      <c r="A970" t="s">
        <v>3778</v>
      </c>
      <c r="B970" s="1">
        <v>40907</v>
      </c>
      <c r="C970" s="1">
        <v>40911</v>
      </c>
      <c r="D970" t="s">
        <v>22</v>
      </c>
      <c r="E970" t="s">
        <v>261</v>
      </c>
      <c r="F970" t="s">
        <v>54</v>
      </c>
      <c r="G970" t="s">
        <v>223</v>
      </c>
      <c r="H970" t="s">
        <v>224</v>
      </c>
      <c r="I970" t="s">
        <v>49</v>
      </c>
      <c r="J970" t="s">
        <v>40</v>
      </c>
      <c r="K970" t="s">
        <v>3779</v>
      </c>
      <c r="L970" t="s">
        <v>146</v>
      </c>
      <c r="M970" t="s">
        <v>195</v>
      </c>
      <c r="N970" t="s">
        <v>3780</v>
      </c>
      <c r="O970" s="2">
        <v>143</v>
      </c>
      <c r="P970">
        <v>2</v>
      </c>
      <c r="Q970" s="3">
        <v>0.1</v>
      </c>
      <c r="R970" s="2">
        <v>44.423999999999999</v>
      </c>
      <c r="S970" s="2">
        <v>6.94</v>
      </c>
      <c r="T970" t="s">
        <v>99</v>
      </c>
      <c r="U970">
        <v>2011</v>
      </c>
    </row>
    <row r="971" spans="1:21" x14ac:dyDescent="0.3">
      <c r="A971" t="s">
        <v>3781</v>
      </c>
      <c r="B971" s="1">
        <v>40896</v>
      </c>
      <c r="C971" s="1">
        <v>40901</v>
      </c>
      <c r="D971" t="s">
        <v>45</v>
      </c>
      <c r="E971" t="s">
        <v>478</v>
      </c>
      <c r="F971" t="s">
        <v>36</v>
      </c>
      <c r="G971" t="s">
        <v>3782</v>
      </c>
      <c r="H971" t="s">
        <v>602</v>
      </c>
      <c r="I971" t="s">
        <v>39</v>
      </c>
      <c r="J971" t="s">
        <v>57</v>
      </c>
      <c r="K971" t="s">
        <v>3783</v>
      </c>
      <c r="L971" t="s">
        <v>146</v>
      </c>
      <c r="M971" t="s">
        <v>347</v>
      </c>
      <c r="N971" t="s">
        <v>3784</v>
      </c>
      <c r="O971" s="2">
        <v>397</v>
      </c>
      <c r="P971">
        <v>2</v>
      </c>
      <c r="Q971" s="3">
        <v>2E-3</v>
      </c>
      <c r="R971" s="2">
        <v>70.724959999999996</v>
      </c>
      <c r="S971" s="2">
        <v>19.899999999999999</v>
      </c>
      <c r="T971" t="s">
        <v>33</v>
      </c>
      <c r="U971">
        <v>2011</v>
      </c>
    </row>
    <row r="972" spans="1:21" x14ac:dyDescent="0.3">
      <c r="A972" t="s">
        <v>3651</v>
      </c>
      <c r="B972" s="1">
        <v>41529</v>
      </c>
      <c r="C972" s="1">
        <v>41531</v>
      </c>
      <c r="D972" t="s">
        <v>84</v>
      </c>
      <c r="E972" t="s">
        <v>3281</v>
      </c>
      <c r="F972" t="s">
        <v>24</v>
      </c>
      <c r="G972" t="s">
        <v>1141</v>
      </c>
      <c r="H972" t="s">
        <v>205</v>
      </c>
      <c r="I972" t="s">
        <v>49</v>
      </c>
      <c r="J972" t="s">
        <v>57</v>
      </c>
      <c r="K972" t="s">
        <v>3785</v>
      </c>
      <c r="L972" t="s">
        <v>30</v>
      </c>
      <c r="M972" t="s">
        <v>31</v>
      </c>
      <c r="N972" t="s">
        <v>526</v>
      </c>
      <c r="O972" s="2">
        <v>75</v>
      </c>
      <c r="P972">
        <v>6</v>
      </c>
      <c r="Q972" s="3">
        <v>0</v>
      </c>
      <c r="R972" s="2">
        <v>5.94</v>
      </c>
      <c r="S972" s="2">
        <v>0.2</v>
      </c>
      <c r="T972" t="s">
        <v>33</v>
      </c>
      <c r="U972">
        <v>2013</v>
      </c>
    </row>
    <row r="973" spans="1:21" x14ac:dyDescent="0.3">
      <c r="A973" t="s">
        <v>3786</v>
      </c>
      <c r="B973" s="1">
        <v>41259</v>
      </c>
      <c r="C973" s="1">
        <v>41264</v>
      </c>
      <c r="D973" t="s">
        <v>22</v>
      </c>
      <c r="E973" t="s">
        <v>683</v>
      </c>
      <c r="F973" t="s">
        <v>36</v>
      </c>
      <c r="G973" t="s">
        <v>1214</v>
      </c>
      <c r="H973" t="s">
        <v>152</v>
      </c>
      <c r="I973" t="s">
        <v>27</v>
      </c>
      <c r="J973" t="s">
        <v>153</v>
      </c>
      <c r="K973" t="s">
        <v>3787</v>
      </c>
      <c r="L973" t="s">
        <v>146</v>
      </c>
      <c r="M973" t="s">
        <v>195</v>
      </c>
      <c r="N973" t="s">
        <v>1448</v>
      </c>
      <c r="O973" s="2">
        <v>236</v>
      </c>
      <c r="P973">
        <v>2</v>
      </c>
      <c r="Q973" s="3">
        <v>0</v>
      </c>
      <c r="R973" s="2">
        <v>73.14</v>
      </c>
      <c r="S973" s="2">
        <v>16.59</v>
      </c>
      <c r="T973" t="s">
        <v>33</v>
      </c>
      <c r="U973">
        <v>2012</v>
      </c>
    </row>
    <row r="974" spans="1:21" x14ac:dyDescent="0.3">
      <c r="A974" t="s">
        <v>3788</v>
      </c>
      <c r="B974" s="1">
        <v>41376</v>
      </c>
      <c r="C974" s="1">
        <v>41378</v>
      </c>
      <c r="D974" t="s">
        <v>84</v>
      </c>
      <c r="E974" t="s">
        <v>2114</v>
      </c>
      <c r="F974" t="s">
        <v>54</v>
      </c>
      <c r="G974" t="s">
        <v>3789</v>
      </c>
      <c r="H974" t="s">
        <v>402</v>
      </c>
      <c r="I974" t="s">
        <v>39</v>
      </c>
      <c r="J974" t="s">
        <v>236</v>
      </c>
      <c r="K974" t="s">
        <v>3790</v>
      </c>
      <c r="L974" t="s">
        <v>146</v>
      </c>
      <c r="M974" t="s">
        <v>195</v>
      </c>
      <c r="N974" t="s">
        <v>3791</v>
      </c>
      <c r="O974" s="2">
        <v>460</v>
      </c>
      <c r="P974">
        <v>4</v>
      </c>
      <c r="Q974" s="3">
        <v>0</v>
      </c>
      <c r="R974" s="2">
        <v>220.56</v>
      </c>
      <c r="S974" s="2">
        <v>113.1</v>
      </c>
      <c r="T974" t="s">
        <v>99</v>
      </c>
      <c r="U974">
        <v>2013</v>
      </c>
    </row>
    <row r="975" spans="1:21" x14ac:dyDescent="0.3">
      <c r="A975" t="s">
        <v>3792</v>
      </c>
      <c r="B975" s="1">
        <v>40892</v>
      </c>
      <c r="C975" s="1">
        <v>40896</v>
      </c>
      <c r="D975" t="s">
        <v>22</v>
      </c>
      <c r="E975" t="s">
        <v>3793</v>
      </c>
      <c r="F975" t="s">
        <v>54</v>
      </c>
      <c r="G975" t="s">
        <v>127</v>
      </c>
      <c r="H975" t="s">
        <v>128</v>
      </c>
      <c r="I975" t="s">
        <v>49</v>
      </c>
      <c r="J975" t="s">
        <v>129</v>
      </c>
      <c r="K975" t="s">
        <v>3794</v>
      </c>
      <c r="L975" t="s">
        <v>59</v>
      </c>
      <c r="M975" t="s">
        <v>339</v>
      </c>
      <c r="N975" t="s">
        <v>3085</v>
      </c>
      <c r="O975" s="2">
        <v>1983</v>
      </c>
      <c r="P975">
        <v>5</v>
      </c>
      <c r="Q975" s="3">
        <v>0.1</v>
      </c>
      <c r="R975" s="2">
        <v>616.81500000000005</v>
      </c>
      <c r="S975" s="2">
        <v>211.36</v>
      </c>
      <c r="T975" t="s">
        <v>99</v>
      </c>
      <c r="U975">
        <v>2011</v>
      </c>
    </row>
    <row r="976" spans="1:21" x14ac:dyDescent="0.3">
      <c r="A976" t="s">
        <v>3795</v>
      </c>
      <c r="B976" s="1">
        <v>40900</v>
      </c>
      <c r="C976" s="1">
        <v>40902</v>
      </c>
      <c r="D976" t="s">
        <v>45</v>
      </c>
      <c r="E976" t="s">
        <v>320</v>
      </c>
      <c r="F976" t="s">
        <v>54</v>
      </c>
      <c r="G976" t="s">
        <v>64</v>
      </c>
      <c r="H976" t="s">
        <v>56</v>
      </c>
      <c r="I976" t="s">
        <v>49</v>
      </c>
      <c r="J976" t="s">
        <v>57</v>
      </c>
      <c r="K976" t="s">
        <v>3796</v>
      </c>
      <c r="L976" t="s">
        <v>30</v>
      </c>
      <c r="M976" t="s">
        <v>105</v>
      </c>
      <c r="N976" t="s">
        <v>3797</v>
      </c>
      <c r="O976" s="2">
        <v>96</v>
      </c>
      <c r="P976">
        <v>7</v>
      </c>
      <c r="Q976" s="3">
        <v>0</v>
      </c>
      <c r="R976" s="2">
        <v>19.95</v>
      </c>
      <c r="S976" s="2">
        <v>16.940000000000001</v>
      </c>
      <c r="T976" t="s">
        <v>99</v>
      </c>
      <c r="U976">
        <v>2011</v>
      </c>
    </row>
    <row r="977" spans="1:21" x14ac:dyDescent="0.3">
      <c r="A977" t="s">
        <v>3798</v>
      </c>
      <c r="B977" s="1">
        <v>41437</v>
      </c>
      <c r="C977" s="1">
        <v>41439</v>
      </c>
      <c r="D977" t="s">
        <v>84</v>
      </c>
      <c r="E977" t="s">
        <v>3799</v>
      </c>
      <c r="F977" t="s">
        <v>54</v>
      </c>
      <c r="G977" t="s">
        <v>3800</v>
      </c>
      <c r="H977" t="s">
        <v>1147</v>
      </c>
      <c r="I977" t="s">
        <v>39</v>
      </c>
      <c r="J977" t="s">
        <v>129</v>
      </c>
      <c r="K977" t="s">
        <v>3801</v>
      </c>
      <c r="L977" t="s">
        <v>30</v>
      </c>
      <c r="M977" t="s">
        <v>410</v>
      </c>
      <c r="N977" t="s">
        <v>465</v>
      </c>
      <c r="O977" s="2">
        <v>109</v>
      </c>
      <c r="P977">
        <v>4</v>
      </c>
      <c r="Q977" s="3">
        <v>0</v>
      </c>
      <c r="R977" s="2">
        <v>43.68</v>
      </c>
      <c r="S977" s="2">
        <v>14.15</v>
      </c>
      <c r="T977" t="s">
        <v>33</v>
      </c>
      <c r="U977">
        <v>2013</v>
      </c>
    </row>
    <row r="978" spans="1:21" x14ac:dyDescent="0.3">
      <c r="A978" t="s">
        <v>3802</v>
      </c>
      <c r="B978" s="1">
        <v>41634</v>
      </c>
      <c r="C978" s="1">
        <v>41641</v>
      </c>
      <c r="D978" t="s">
        <v>22</v>
      </c>
      <c r="E978" t="s">
        <v>2396</v>
      </c>
      <c r="F978" t="s">
        <v>24</v>
      </c>
      <c r="G978" t="s">
        <v>3803</v>
      </c>
      <c r="H978" t="s">
        <v>135</v>
      </c>
      <c r="I978" t="s">
        <v>136</v>
      </c>
      <c r="J978" t="s">
        <v>396</v>
      </c>
      <c r="K978" t="s">
        <v>3804</v>
      </c>
      <c r="L978" t="s">
        <v>59</v>
      </c>
      <c r="M978" t="s">
        <v>60</v>
      </c>
      <c r="N978" t="s">
        <v>3805</v>
      </c>
      <c r="O978" s="2">
        <v>21</v>
      </c>
      <c r="P978">
        <v>4</v>
      </c>
      <c r="Q978" s="3">
        <v>0</v>
      </c>
      <c r="R978" s="2">
        <v>6.5472000000000001</v>
      </c>
      <c r="S978" s="2">
        <v>1.55</v>
      </c>
      <c r="T978" t="s">
        <v>33</v>
      </c>
      <c r="U978">
        <v>2013</v>
      </c>
    </row>
    <row r="979" spans="1:21" x14ac:dyDescent="0.3">
      <c r="A979" t="s">
        <v>3806</v>
      </c>
      <c r="B979" s="1">
        <v>41990</v>
      </c>
      <c r="C979" s="1">
        <v>41994</v>
      </c>
      <c r="D979" t="s">
        <v>22</v>
      </c>
      <c r="E979" t="s">
        <v>3807</v>
      </c>
      <c r="F979" t="s">
        <v>54</v>
      </c>
      <c r="G979" t="s">
        <v>790</v>
      </c>
      <c r="H979" t="s">
        <v>791</v>
      </c>
      <c r="I979" t="s">
        <v>117</v>
      </c>
      <c r="J979" t="s">
        <v>117</v>
      </c>
      <c r="K979" t="s">
        <v>3808</v>
      </c>
      <c r="L979" t="s">
        <v>30</v>
      </c>
      <c r="M979" t="s">
        <v>90</v>
      </c>
      <c r="N979" t="s">
        <v>3809</v>
      </c>
      <c r="O979" s="2">
        <v>30</v>
      </c>
      <c r="P979">
        <v>2</v>
      </c>
      <c r="Q979" s="3">
        <v>0</v>
      </c>
      <c r="R979" s="2">
        <v>10.86</v>
      </c>
      <c r="S979" s="2">
        <v>1.68</v>
      </c>
      <c r="T979" t="s">
        <v>33</v>
      </c>
      <c r="U979">
        <v>2014</v>
      </c>
    </row>
    <row r="980" spans="1:21" x14ac:dyDescent="0.3">
      <c r="A980" t="s">
        <v>3810</v>
      </c>
      <c r="B980" s="1">
        <v>41996</v>
      </c>
      <c r="C980" s="1">
        <v>42003</v>
      </c>
      <c r="D980" t="s">
        <v>22</v>
      </c>
      <c r="E980" t="s">
        <v>3811</v>
      </c>
      <c r="F980" t="s">
        <v>36</v>
      </c>
      <c r="G980" t="s">
        <v>337</v>
      </c>
      <c r="H980" t="s">
        <v>316</v>
      </c>
      <c r="I980" t="s">
        <v>27</v>
      </c>
      <c r="J980" t="s">
        <v>212</v>
      </c>
      <c r="K980" t="s">
        <v>3812</v>
      </c>
      <c r="L980" t="s">
        <v>59</v>
      </c>
      <c r="M980" t="s">
        <v>60</v>
      </c>
      <c r="N980" t="s">
        <v>3813</v>
      </c>
      <c r="O980" s="2">
        <v>381</v>
      </c>
      <c r="P980">
        <v>8</v>
      </c>
      <c r="Q980" s="3">
        <v>0.1</v>
      </c>
      <c r="R980" s="2">
        <v>139.77600000000001</v>
      </c>
      <c r="S980" s="2">
        <v>58.71</v>
      </c>
      <c r="T980" t="s">
        <v>77</v>
      </c>
      <c r="U980">
        <v>2014</v>
      </c>
    </row>
    <row r="981" spans="1:21" x14ac:dyDescent="0.3">
      <c r="A981" t="s">
        <v>3814</v>
      </c>
      <c r="B981" s="1">
        <v>41802</v>
      </c>
      <c r="C981" s="1">
        <v>41808</v>
      </c>
      <c r="D981" t="s">
        <v>22</v>
      </c>
      <c r="E981" t="s">
        <v>3815</v>
      </c>
      <c r="F981" t="s">
        <v>54</v>
      </c>
      <c r="G981" t="s">
        <v>936</v>
      </c>
      <c r="H981" t="s">
        <v>72</v>
      </c>
      <c r="I981" t="s">
        <v>27</v>
      </c>
      <c r="J981" t="s">
        <v>73</v>
      </c>
      <c r="K981" t="s">
        <v>3816</v>
      </c>
      <c r="L981" t="s">
        <v>30</v>
      </c>
      <c r="M981" t="s">
        <v>31</v>
      </c>
      <c r="N981" t="s">
        <v>3817</v>
      </c>
      <c r="O981" s="2">
        <v>46</v>
      </c>
      <c r="P981">
        <v>3</v>
      </c>
      <c r="Q981" s="3">
        <v>0</v>
      </c>
      <c r="R981" s="2">
        <v>13.32</v>
      </c>
      <c r="S981" s="2">
        <v>2.56</v>
      </c>
      <c r="T981" t="s">
        <v>33</v>
      </c>
      <c r="U981">
        <v>2014</v>
      </c>
    </row>
    <row r="982" spans="1:21" x14ac:dyDescent="0.3">
      <c r="A982" t="s">
        <v>3818</v>
      </c>
      <c r="B982" s="1">
        <v>40889</v>
      </c>
      <c r="C982" s="1">
        <v>40895</v>
      </c>
      <c r="D982" t="s">
        <v>22</v>
      </c>
      <c r="E982" t="s">
        <v>1545</v>
      </c>
      <c r="F982" t="s">
        <v>36</v>
      </c>
      <c r="G982" t="s">
        <v>3819</v>
      </c>
      <c r="H982" t="s">
        <v>95</v>
      </c>
      <c r="I982" t="s">
        <v>27</v>
      </c>
      <c r="J982" t="s">
        <v>73</v>
      </c>
      <c r="K982" t="s">
        <v>3820</v>
      </c>
      <c r="L982" t="s">
        <v>30</v>
      </c>
      <c r="M982" t="s">
        <v>75</v>
      </c>
      <c r="N982" t="s">
        <v>3821</v>
      </c>
      <c r="O982" s="2">
        <v>5</v>
      </c>
      <c r="P982">
        <v>2</v>
      </c>
      <c r="Q982" s="3">
        <v>0.5</v>
      </c>
      <c r="R982" s="2">
        <v>-1.5</v>
      </c>
      <c r="S982" s="2">
        <v>0.35</v>
      </c>
      <c r="T982" t="s">
        <v>33</v>
      </c>
      <c r="U982">
        <v>2011</v>
      </c>
    </row>
    <row r="983" spans="1:21" x14ac:dyDescent="0.3">
      <c r="A983" t="s">
        <v>3822</v>
      </c>
      <c r="B983" s="1">
        <v>41989</v>
      </c>
      <c r="C983" s="1">
        <v>41993</v>
      </c>
      <c r="D983" t="s">
        <v>22</v>
      </c>
      <c r="E983" t="s">
        <v>2720</v>
      </c>
      <c r="F983" t="s">
        <v>54</v>
      </c>
      <c r="G983" t="s">
        <v>134</v>
      </c>
      <c r="H983" t="s">
        <v>135</v>
      </c>
      <c r="I983" t="s">
        <v>136</v>
      </c>
      <c r="J983" t="s">
        <v>137</v>
      </c>
      <c r="K983" t="s">
        <v>3823</v>
      </c>
      <c r="L983" t="s">
        <v>30</v>
      </c>
      <c r="M983" t="s">
        <v>105</v>
      </c>
      <c r="N983" t="s">
        <v>3824</v>
      </c>
      <c r="O983" s="2">
        <v>23</v>
      </c>
      <c r="P983">
        <v>3</v>
      </c>
      <c r="Q983" s="3">
        <v>0</v>
      </c>
      <c r="R983" s="2">
        <v>10.7301</v>
      </c>
      <c r="S983" s="2">
        <v>1.83</v>
      </c>
      <c r="T983" t="s">
        <v>99</v>
      </c>
      <c r="U983">
        <v>2014</v>
      </c>
    </row>
    <row r="984" spans="1:21" x14ac:dyDescent="0.3">
      <c r="A984" t="s">
        <v>3825</v>
      </c>
      <c r="B984" s="1">
        <v>40555</v>
      </c>
      <c r="C984" s="1">
        <v>40562</v>
      </c>
      <c r="D984" t="s">
        <v>22</v>
      </c>
      <c r="E984" t="s">
        <v>506</v>
      </c>
      <c r="F984" t="s">
        <v>24</v>
      </c>
      <c r="G984" t="s">
        <v>356</v>
      </c>
      <c r="H984" t="s">
        <v>205</v>
      </c>
      <c r="I984" t="s">
        <v>49</v>
      </c>
      <c r="J984" t="s">
        <v>57</v>
      </c>
      <c r="K984" t="s">
        <v>3826</v>
      </c>
      <c r="L984" t="s">
        <v>30</v>
      </c>
      <c r="M984" t="s">
        <v>31</v>
      </c>
      <c r="N984" t="s">
        <v>3827</v>
      </c>
      <c r="O984" s="2">
        <v>17</v>
      </c>
      <c r="P984">
        <v>2</v>
      </c>
      <c r="Q984" s="3">
        <v>0</v>
      </c>
      <c r="R984" s="2">
        <v>6.18</v>
      </c>
      <c r="S984" s="2">
        <v>2.08</v>
      </c>
      <c r="T984" t="s">
        <v>33</v>
      </c>
      <c r="U984">
        <v>2011</v>
      </c>
    </row>
    <row r="985" spans="1:21" x14ac:dyDescent="0.3">
      <c r="A985" t="s">
        <v>3828</v>
      </c>
      <c r="B985" s="1">
        <v>41802</v>
      </c>
      <c r="C985" s="1">
        <v>41806</v>
      </c>
      <c r="D985" t="s">
        <v>22</v>
      </c>
      <c r="E985" t="s">
        <v>3829</v>
      </c>
      <c r="F985" t="s">
        <v>54</v>
      </c>
      <c r="G985" t="s">
        <v>3830</v>
      </c>
      <c r="H985" t="s">
        <v>2989</v>
      </c>
      <c r="I985" t="s">
        <v>117</v>
      </c>
      <c r="J985" t="s">
        <v>117</v>
      </c>
      <c r="K985" t="s">
        <v>3831</v>
      </c>
      <c r="L985" t="s">
        <v>146</v>
      </c>
      <c r="M985" t="s">
        <v>147</v>
      </c>
      <c r="N985" t="s">
        <v>3832</v>
      </c>
      <c r="O985" s="2">
        <v>176</v>
      </c>
      <c r="P985">
        <v>1</v>
      </c>
      <c r="Q985" s="3">
        <v>0</v>
      </c>
      <c r="R985" s="2">
        <v>45.81</v>
      </c>
      <c r="S985" s="2">
        <v>14.32</v>
      </c>
      <c r="T985" t="s">
        <v>33</v>
      </c>
      <c r="U985">
        <v>2014</v>
      </c>
    </row>
    <row r="986" spans="1:21" x14ac:dyDescent="0.3">
      <c r="A986" t="s">
        <v>3833</v>
      </c>
      <c r="B986" s="1">
        <v>40906</v>
      </c>
      <c r="C986" s="1">
        <v>40906</v>
      </c>
      <c r="D986" t="s">
        <v>232</v>
      </c>
      <c r="E986" t="s">
        <v>3834</v>
      </c>
      <c r="F986" t="s">
        <v>36</v>
      </c>
      <c r="G986" t="s">
        <v>450</v>
      </c>
      <c r="H986" t="s">
        <v>205</v>
      </c>
      <c r="I986" t="s">
        <v>49</v>
      </c>
      <c r="J986" t="s">
        <v>57</v>
      </c>
      <c r="K986" t="s">
        <v>3835</v>
      </c>
      <c r="L986" t="s">
        <v>30</v>
      </c>
      <c r="M986" t="s">
        <v>90</v>
      </c>
      <c r="N986" t="s">
        <v>3836</v>
      </c>
      <c r="O986" s="2">
        <v>24</v>
      </c>
      <c r="P986">
        <v>2</v>
      </c>
      <c r="Q986" s="3">
        <v>0</v>
      </c>
      <c r="R986" s="2">
        <v>10.02</v>
      </c>
      <c r="S986" s="2">
        <v>0.31</v>
      </c>
      <c r="T986" t="s">
        <v>33</v>
      </c>
      <c r="U986">
        <v>2011</v>
      </c>
    </row>
    <row r="987" spans="1:21" x14ac:dyDescent="0.3">
      <c r="A987" t="s">
        <v>3837</v>
      </c>
      <c r="B987" s="1">
        <v>41991</v>
      </c>
      <c r="C987" s="1">
        <v>41997</v>
      </c>
      <c r="D987" t="s">
        <v>22</v>
      </c>
      <c r="E987" t="s">
        <v>3676</v>
      </c>
      <c r="F987" t="s">
        <v>54</v>
      </c>
      <c r="G987" t="s">
        <v>395</v>
      </c>
      <c r="H987" t="s">
        <v>135</v>
      </c>
      <c r="I987" t="s">
        <v>136</v>
      </c>
      <c r="J987" t="s">
        <v>396</v>
      </c>
      <c r="K987" t="s">
        <v>3838</v>
      </c>
      <c r="L987" t="s">
        <v>30</v>
      </c>
      <c r="M987" t="s">
        <v>66</v>
      </c>
      <c r="N987" t="s">
        <v>3839</v>
      </c>
      <c r="O987" s="2">
        <v>167</v>
      </c>
      <c r="P987">
        <v>2</v>
      </c>
      <c r="Q987" s="3">
        <v>0</v>
      </c>
      <c r="R987" s="2">
        <v>41.68</v>
      </c>
      <c r="S987" s="2">
        <v>12.41</v>
      </c>
      <c r="T987" t="s">
        <v>33</v>
      </c>
      <c r="U987">
        <v>2014</v>
      </c>
    </row>
    <row r="988" spans="1:21" x14ac:dyDescent="0.3">
      <c r="A988" t="s">
        <v>3840</v>
      </c>
      <c r="B988" s="1">
        <v>41985</v>
      </c>
      <c r="C988" s="1">
        <v>41987</v>
      </c>
      <c r="D988" t="s">
        <v>84</v>
      </c>
      <c r="E988" t="s">
        <v>737</v>
      </c>
      <c r="F988" t="s">
        <v>54</v>
      </c>
      <c r="G988" t="s">
        <v>3697</v>
      </c>
      <c r="H988" t="s">
        <v>152</v>
      </c>
      <c r="I988" t="s">
        <v>27</v>
      </c>
      <c r="J988" t="s">
        <v>153</v>
      </c>
      <c r="K988" t="s">
        <v>3841</v>
      </c>
      <c r="L988" t="s">
        <v>59</v>
      </c>
      <c r="M988" t="s">
        <v>60</v>
      </c>
      <c r="N988" t="s">
        <v>61</v>
      </c>
      <c r="O988" s="2">
        <v>48</v>
      </c>
      <c r="P988">
        <v>2</v>
      </c>
      <c r="Q988" s="3">
        <v>0</v>
      </c>
      <c r="R988" s="2">
        <v>23.28</v>
      </c>
      <c r="S988" s="2">
        <v>9.27</v>
      </c>
      <c r="T988" t="s">
        <v>99</v>
      </c>
      <c r="U988">
        <v>2014</v>
      </c>
    </row>
    <row r="989" spans="1:21" x14ac:dyDescent="0.3">
      <c r="A989" t="s">
        <v>3842</v>
      </c>
      <c r="B989" s="1">
        <v>41802</v>
      </c>
      <c r="C989" s="1">
        <v>41806</v>
      </c>
      <c r="D989" t="s">
        <v>22</v>
      </c>
      <c r="E989" t="s">
        <v>168</v>
      </c>
      <c r="F989" t="s">
        <v>24</v>
      </c>
      <c r="G989" t="s">
        <v>337</v>
      </c>
      <c r="H989" t="s">
        <v>316</v>
      </c>
      <c r="I989" t="s">
        <v>27</v>
      </c>
      <c r="J989" t="s">
        <v>212</v>
      </c>
      <c r="K989" t="s">
        <v>3843</v>
      </c>
      <c r="L989" t="s">
        <v>30</v>
      </c>
      <c r="M989" t="s">
        <v>90</v>
      </c>
      <c r="N989" t="s">
        <v>1595</v>
      </c>
      <c r="O989" s="2">
        <v>63</v>
      </c>
      <c r="P989">
        <v>4</v>
      </c>
      <c r="Q989" s="3">
        <v>0</v>
      </c>
      <c r="R989" s="2">
        <v>18.84</v>
      </c>
      <c r="S989" s="2">
        <v>2.82</v>
      </c>
      <c r="T989" t="s">
        <v>33</v>
      </c>
      <c r="U989">
        <v>2014</v>
      </c>
    </row>
    <row r="990" spans="1:21" x14ac:dyDescent="0.3">
      <c r="A990" t="s">
        <v>3844</v>
      </c>
      <c r="B990" s="1">
        <v>41632</v>
      </c>
      <c r="C990" s="1">
        <v>41636</v>
      </c>
      <c r="D990" t="s">
        <v>45</v>
      </c>
      <c r="E990" t="s">
        <v>3845</v>
      </c>
      <c r="F990" t="s">
        <v>54</v>
      </c>
      <c r="G990" t="s">
        <v>204</v>
      </c>
      <c r="H990" t="s">
        <v>205</v>
      </c>
      <c r="I990" t="s">
        <v>49</v>
      </c>
      <c r="J990" t="s">
        <v>57</v>
      </c>
      <c r="K990" t="s">
        <v>3846</v>
      </c>
      <c r="L990" t="s">
        <v>59</v>
      </c>
      <c r="M990" t="s">
        <v>139</v>
      </c>
      <c r="N990" t="s">
        <v>2637</v>
      </c>
      <c r="O990" s="2">
        <v>159</v>
      </c>
      <c r="P990">
        <v>1</v>
      </c>
      <c r="Q990" s="3">
        <v>0.1</v>
      </c>
      <c r="R990" s="2">
        <v>-3.0000000000000001E-3</v>
      </c>
      <c r="S990" s="2">
        <v>3.04</v>
      </c>
      <c r="T990" t="s">
        <v>33</v>
      </c>
      <c r="U990">
        <v>2013</v>
      </c>
    </row>
    <row r="991" spans="1:21" x14ac:dyDescent="0.3">
      <c r="A991" t="s">
        <v>3847</v>
      </c>
      <c r="B991" s="1">
        <v>42002</v>
      </c>
      <c r="C991" s="1">
        <v>42008</v>
      </c>
      <c r="D991" t="s">
        <v>22</v>
      </c>
      <c r="E991" t="s">
        <v>983</v>
      </c>
      <c r="F991" t="s">
        <v>54</v>
      </c>
      <c r="G991" t="s">
        <v>1076</v>
      </c>
      <c r="H991" t="s">
        <v>1077</v>
      </c>
      <c r="I991" t="s">
        <v>39</v>
      </c>
      <c r="J991" t="s">
        <v>236</v>
      </c>
      <c r="K991" t="s">
        <v>3848</v>
      </c>
      <c r="L991" t="s">
        <v>30</v>
      </c>
      <c r="M991" t="s">
        <v>66</v>
      </c>
      <c r="N991" t="s">
        <v>3266</v>
      </c>
      <c r="O991" s="2">
        <v>248</v>
      </c>
      <c r="P991">
        <v>3</v>
      </c>
      <c r="Q991" s="3">
        <v>0.4</v>
      </c>
      <c r="R991" s="2">
        <v>16.5</v>
      </c>
      <c r="S991" s="2">
        <v>1.33</v>
      </c>
      <c r="T991" t="s">
        <v>33</v>
      </c>
      <c r="U991">
        <v>2014</v>
      </c>
    </row>
    <row r="992" spans="1:21" x14ac:dyDescent="0.3">
      <c r="A992" t="s">
        <v>3849</v>
      </c>
      <c r="B992" s="1">
        <v>41262</v>
      </c>
      <c r="C992" s="1">
        <v>41267</v>
      </c>
      <c r="D992" t="s">
        <v>45</v>
      </c>
      <c r="E992" t="s">
        <v>1676</v>
      </c>
      <c r="F992" t="s">
        <v>36</v>
      </c>
      <c r="G992" t="s">
        <v>3803</v>
      </c>
      <c r="H992" t="s">
        <v>135</v>
      </c>
      <c r="I992" t="s">
        <v>136</v>
      </c>
      <c r="J992" t="s">
        <v>396</v>
      </c>
      <c r="K992" t="s">
        <v>3850</v>
      </c>
      <c r="L992" t="s">
        <v>30</v>
      </c>
      <c r="M992" t="s">
        <v>105</v>
      </c>
      <c r="N992" t="s">
        <v>3851</v>
      </c>
      <c r="O992" s="2">
        <v>30</v>
      </c>
      <c r="P992">
        <v>5</v>
      </c>
      <c r="Q992" s="3">
        <v>0</v>
      </c>
      <c r="R992" s="2">
        <v>14.651</v>
      </c>
      <c r="S992" s="2">
        <v>2.95</v>
      </c>
      <c r="T992" t="s">
        <v>99</v>
      </c>
      <c r="U992">
        <v>2012</v>
      </c>
    </row>
    <row r="993" spans="1:21" x14ac:dyDescent="0.3">
      <c r="A993" t="s">
        <v>3852</v>
      </c>
      <c r="B993" s="1">
        <v>42000</v>
      </c>
      <c r="C993" s="1">
        <v>42005</v>
      </c>
      <c r="D993" t="s">
        <v>22</v>
      </c>
      <c r="E993" t="s">
        <v>1399</v>
      </c>
      <c r="F993" t="s">
        <v>24</v>
      </c>
      <c r="G993" t="s">
        <v>3853</v>
      </c>
      <c r="H993" t="s">
        <v>3854</v>
      </c>
      <c r="I993" t="s">
        <v>88</v>
      </c>
      <c r="J993" t="s">
        <v>88</v>
      </c>
      <c r="K993" t="s">
        <v>3855</v>
      </c>
      <c r="L993" t="s">
        <v>59</v>
      </c>
      <c r="M993" t="s">
        <v>60</v>
      </c>
      <c r="N993" t="s">
        <v>1334</v>
      </c>
      <c r="O993" s="2">
        <v>44</v>
      </c>
      <c r="P993">
        <v>1</v>
      </c>
      <c r="Q993" s="3">
        <v>0</v>
      </c>
      <c r="R993" s="2">
        <v>15.84</v>
      </c>
      <c r="S993" s="2">
        <v>3.66</v>
      </c>
      <c r="T993" t="s">
        <v>33</v>
      </c>
      <c r="U993">
        <v>2014</v>
      </c>
    </row>
    <row r="994" spans="1:21" x14ac:dyDescent="0.3">
      <c r="A994" t="s">
        <v>3856</v>
      </c>
      <c r="B994" s="1">
        <v>41262</v>
      </c>
      <c r="C994" s="1">
        <v>41266</v>
      </c>
      <c r="D994" t="s">
        <v>22</v>
      </c>
      <c r="E994" t="s">
        <v>3857</v>
      </c>
      <c r="F994" t="s">
        <v>54</v>
      </c>
      <c r="G994" t="s">
        <v>389</v>
      </c>
      <c r="H994" t="s">
        <v>390</v>
      </c>
      <c r="I994" t="s">
        <v>39</v>
      </c>
      <c r="J994" t="s">
        <v>57</v>
      </c>
      <c r="K994" t="s">
        <v>3858</v>
      </c>
      <c r="L994" t="s">
        <v>30</v>
      </c>
      <c r="M994" t="s">
        <v>97</v>
      </c>
      <c r="N994" t="s">
        <v>3859</v>
      </c>
      <c r="O994" s="2">
        <v>22</v>
      </c>
      <c r="P994">
        <v>2</v>
      </c>
      <c r="Q994" s="3">
        <v>0</v>
      </c>
      <c r="R994" s="2">
        <v>6.48</v>
      </c>
      <c r="S994" s="2">
        <v>3.08</v>
      </c>
      <c r="T994" t="s">
        <v>99</v>
      </c>
      <c r="U994">
        <v>2012</v>
      </c>
    </row>
    <row r="995" spans="1:21" x14ac:dyDescent="0.3">
      <c r="A995" t="s">
        <v>3860</v>
      </c>
      <c r="B995" s="1">
        <v>40920</v>
      </c>
      <c r="C995" s="1">
        <v>40925</v>
      </c>
      <c r="D995" t="s">
        <v>22</v>
      </c>
      <c r="E995" t="s">
        <v>3593</v>
      </c>
      <c r="F995" t="s">
        <v>24</v>
      </c>
      <c r="G995" t="s">
        <v>1967</v>
      </c>
      <c r="H995" t="s">
        <v>316</v>
      </c>
      <c r="I995" t="s">
        <v>27</v>
      </c>
      <c r="J995" t="s">
        <v>212</v>
      </c>
      <c r="K995" t="s">
        <v>3861</v>
      </c>
      <c r="L995" t="s">
        <v>30</v>
      </c>
      <c r="M995" t="s">
        <v>90</v>
      </c>
      <c r="N995" t="s">
        <v>3862</v>
      </c>
      <c r="O995" s="2">
        <v>27</v>
      </c>
      <c r="P995">
        <v>2</v>
      </c>
      <c r="Q995" s="3">
        <v>0.1</v>
      </c>
      <c r="R995" s="2">
        <v>-0.65400000000000003</v>
      </c>
      <c r="S995" s="2">
        <v>1.59</v>
      </c>
      <c r="T995" t="s">
        <v>33</v>
      </c>
      <c r="U995">
        <v>2012</v>
      </c>
    </row>
    <row r="996" spans="1:21" x14ac:dyDescent="0.3">
      <c r="A996" t="s">
        <v>3863</v>
      </c>
      <c r="B996" s="1">
        <v>40614</v>
      </c>
      <c r="C996" s="1">
        <v>40619</v>
      </c>
      <c r="D996" t="s">
        <v>22</v>
      </c>
      <c r="E996" t="s">
        <v>3864</v>
      </c>
      <c r="F996" t="s">
        <v>54</v>
      </c>
      <c r="G996" t="s">
        <v>941</v>
      </c>
      <c r="H996" t="s">
        <v>152</v>
      </c>
      <c r="I996" t="s">
        <v>27</v>
      </c>
      <c r="J996" t="s">
        <v>153</v>
      </c>
      <c r="K996" t="s">
        <v>3865</v>
      </c>
      <c r="L996" t="s">
        <v>30</v>
      </c>
      <c r="M996" t="s">
        <v>105</v>
      </c>
      <c r="N996" t="s">
        <v>3866</v>
      </c>
      <c r="O996" s="2">
        <v>94</v>
      </c>
      <c r="P996">
        <v>6</v>
      </c>
      <c r="Q996" s="3">
        <v>0</v>
      </c>
      <c r="R996" s="2">
        <v>30.96</v>
      </c>
      <c r="S996" s="2">
        <v>9.26</v>
      </c>
      <c r="T996" t="s">
        <v>33</v>
      </c>
      <c r="U996">
        <v>2011</v>
      </c>
    </row>
    <row r="997" spans="1:21" x14ac:dyDescent="0.3">
      <c r="A997" t="s">
        <v>3867</v>
      </c>
      <c r="B997" s="1">
        <v>41629</v>
      </c>
      <c r="C997" s="1">
        <v>41631</v>
      </c>
      <c r="D997" t="s">
        <v>84</v>
      </c>
      <c r="E997" t="s">
        <v>2669</v>
      </c>
      <c r="F997" t="s">
        <v>54</v>
      </c>
      <c r="G997" t="s">
        <v>389</v>
      </c>
      <c r="H997" t="s">
        <v>390</v>
      </c>
      <c r="I997" t="s">
        <v>39</v>
      </c>
      <c r="J997" t="s">
        <v>57</v>
      </c>
      <c r="K997" t="s">
        <v>3868</v>
      </c>
      <c r="L997" t="s">
        <v>146</v>
      </c>
      <c r="M997" t="s">
        <v>271</v>
      </c>
      <c r="N997" t="s">
        <v>2663</v>
      </c>
      <c r="O997" s="2">
        <v>86</v>
      </c>
      <c r="P997">
        <v>3</v>
      </c>
      <c r="Q997" s="3">
        <v>0</v>
      </c>
      <c r="R997" s="2">
        <v>36.96</v>
      </c>
      <c r="S997" s="2">
        <v>11.77</v>
      </c>
      <c r="T997" t="s">
        <v>33</v>
      </c>
      <c r="U997">
        <v>2013</v>
      </c>
    </row>
    <row r="998" spans="1:21" x14ac:dyDescent="0.3">
      <c r="A998" t="s">
        <v>3869</v>
      </c>
      <c r="B998" s="1">
        <v>41498</v>
      </c>
      <c r="C998" s="1">
        <v>41502</v>
      </c>
      <c r="D998" t="s">
        <v>22</v>
      </c>
      <c r="E998" t="s">
        <v>3870</v>
      </c>
      <c r="F998" t="s">
        <v>54</v>
      </c>
      <c r="G998" t="s">
        <v>830</v>
      </c>
      <c r="H998" t="s">
        <v>72</v>
      </c>
      <c r="I998" t="s">
        <v>27</v>
      </c>
      <c r="J998" t="s">
        <v>73</v>
      </c>
      <c r="K998" t="s">
        <v>3871</v>
      </c>
      <c r="L998" t="s">
        <v>30</v>
      </c>
      <c r="M998" t="s">
        <v>105</v>
      </c>
      <c r="N998" t="s">
        <v>3872</v>
      </c>
      <c r="O998" s="2">
        <v>27</v>
      </c>
      <c r="P998">
        <v>2</v>
      </c>
      <c r="Q998" s="3">
        <v>0</v>
      </c>
      <c r="R998" s="2">
        <v>1.86</v>
      </c>
      <c r="S998" s="2">
        <v>2.95</v>
      </c>
      <c r="T998" t="s">
        <v>99</v>
      </c>
      <c r="U998">
        <v>2013</v>
      </c>
    </row>
    <row r="999" spans="1:21" x14ac:dyDescent="0.3">
      <c r="A999" t="s">
        <v>3873</v>
      </c>
      <c r="B999" s="1">
        <v>41345</v>
      </c>
      <c r="C999" s="1">
        <v>41347</v>
      </c>
      <c r="D999" t="s">
        <v>45</v>
      </c>
      <c r="E999" t="s">
        <v>683</v>
      </c>
      <c r="F999" t="s">
        <v>36</v>
      </c>
      <c r="G999" t="s">
        <v>3874</v>
      </c>
      <c r="H999" t="s">
        <v>3875</v>
      </c>
      <c r="I999" t="s">
        <v>88</v>
      </c>
      <c r="J999" t="s">
        <v>88</v>
      </c>
      <c r="K999" t="s">
        <v>3876</v>
      </c>
      <c r="L999" t="s">
        <v>59</v>
      </c>
      <c r="M999" t="s">
        <v>339</v>
      </c>
      <c r="N999" t="s">
        <v>3877</v>
      </c>
      <c r="O999" s="2">
        <v>173</v>
      </c>
      <c r="P999">
        <v>1</v>
      </c>
      <c r="Q999" s="3">
        <v>0</v>
      </c>
      <c r="R999" s="2">
        <v>53.49</v>
      </c>
      <c r="S999" s="2">
        <v>19.28</v>
      </c>
      <c r="T999" t="s">
        <v>99</v>
      </c>
      <c r="U999">
        <v>2013</v>
      </c>
    </row>
    <row r="1000" spans="1:21" x14ac:dyDescent="0.3">
      <c r="A1000" t="s">
        <v>3878</v>
      </c>
      <c r="B1000" s="1">
        <v>41265</v>
      </c>
      <c r="C1000" s="1">
        <v>41267</v>
      </c>
      <c r="D1000" t="s">
        <v>45</v>
      </c>
      <c r="E1000" t="s">
        <v>3879</v>
      </c>
      <c r="F1000" t="s">
        <v>36</v>
      </c>
      <c r="G1000" t="s">
        <v>597</v>
      </c>
      <c r="H1000" t="s">
        <v>56</v>
      </c>
      <c r="I1000" t="s">
        <v>49</v>
      </c>
      <c r="J1000" t="s">
        <v>57</v>
      </c>
      <c r="K1000" t="s">
        <v>3880</v>
      </c>
      <c r="L1000" t="s">
        <v>146</v>
      </c>
      <c r="M1000" t="s">
        <v>347</v>
      </c>
      <c r="N1000" t="s">
        <v>2742</v>
      </c>
      <c r="O1000" s="2">
        <v>780</v>
      </c>
      <c r="P1000">
        <v>7</v>
      </c>
      <c r="Q1000" s="3">
        <v>0.65</v>
      </c>
      <c r="R1000" s="2">
        <v>-535.22699999999998</v>
      </c>
      <c r="S1000" s="2">
        <v>113.83</v>
      </c>
      <c r="T1000" t="s">
        <v>99</v>
      </c>
      <c r="U1000">
        <v>2012</v>
      </c>
    </row>
    <row r="1001" spans="1:21" x14ac:dyDescent="0.3">
      <c r="A1001" t="s">
        <v>3881</v>
      </c>
      <c r="B1001" s="1">
        <v>41437</v>
      </c>
      <c r="C1001" s="1">
        <v>41439</v>
      </c>
      <c r="D1001" t="s">
        <v>45</v>
      </c>
      <c r="E1001" t="s">
        <v>2148</v>
      </c>
      <c r="F1001" t="s">
        <v>54</v>
      </c>
      <c r="G1001" t="s">
        <v>395</v>
      </c>
      <c r="H1001" t="s">
        <v>135</v>
      </c>
      <c r="I1001" t="s">
        <v>136</v>
      </c>
      <c r="J1001" t="s">
        <v>396</v>
      </c>
      <c r="K1001" t="s">
        <v>2410</v>
      </c>
      <c r="L1001" t="s">
        <v>146</v>
      </c>
      <c r="M1001" t="s">
        <v>271</v>
      </c>
      <c r="N1001" t="s">
        <v>2411</v>
      </c>
      <c r="O1001" s="2">
        <v>240</v>
      </c>
      <c r="P1001">
        <v>3</v>
      </c>
      <c r="Q1001" s="3">
        <v>0</v>
      </c>
      <c r="R1001" s="2">
        <v>71.991</v>
      </c>
      <c r="S1001" s="2">
        <v>79.709999999999994</v>
      </c>
      <c r="T1001" t="s">
        <v>68</v>
      </c>
      <c r="U1001">
        <v>2013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KPIs</vt:lpstr>
      <vt:lpstr>Sales by Region</vt:lpstr>
      <vt:lpstr>Profit by Region</vt:lpstr>
      <vt:lpstr>Sales by Category</vt:lpstr>
      <vt:lpstr>Profit by Category</vt:lpstr>
      <vt:lpstr>Monthly Trend</vt:lpstr>
      <vt:lpstr>Top Products</vt:lpstr>
      <vt:lpstr>Top Customers</vt:lpstr>
      <vt:lpstr>Sales by Segment</vt:lpstr>
      <vt:lpstr>Profit by Segment</vt:lpstr>
      <vt:lpstr>Sales by SubCategory</vt:lpstr>
      <vt:lpstr>Profit by SubCategory</vt:lpstr>
      <vt:lpstr>Discount</vt:lpstr>
      <vt:lpstr>Executive Summary</vt:lpstr>
      <vt:lpstr>Sheet1</vt:lpstr>
      <vt:lpstr>SuperStoreOrdersfi_cleaned_EDA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LUKESH</dc:creator>
  <cp:lastModifiedBy>Lukesh Murugesan</cp:lastModifiedBy>
  <dcterms:created xsi:type="dcterms:W3CDTF">2026-07-27T08:27:00Z</dcterms:created>
  <dcterms:modified xsi:type="dcterms:W3CDTF">2026-07-29T17:05:46Z</dcterms:modified>
</cp:coreProperties>
</file>